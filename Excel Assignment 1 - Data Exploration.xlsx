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3\Desktop\"/>
    </mc:Choice>
  </mc:AlternateContent>
  <bookViews>
    <workbookView xWindow="0" yWindow="0" windowWidth="15360" windowHeight="7755" firstSheet="1" activeTab="6"/>
  </bookViews>
  <sheets>
    <sheet name="Instructions" sheetId="1" r:id="rId1"/>
    <sheet name="Dataset" sheetId="2" r:id="rId2"/>
    <sheet name="SHEET 1" sheetId="3" r:id="rId3"/>
    <sheet name="SHEET 2" sheetId="6" r:id="rId4"/>
    <sheet name="SHEET 3" sheetId="9" r:id="rId5"/>
    <sheet name="SHEET 4" sheetId="10" r:id="rId6"/>
    <sheet name="SHEET 5" sheetId="11" r:id="rId7"/>
  </sheets>
  <calcPr calcId="152511"/>
  <extLst>
    <ext uri="GoogleSheetsCustomDataVersion2">
      <go:sheetsCustomData xmlns:go="http://customooxmlschemas.google.com/" r:id="rId8" roundtripDataChecksum="xxdYPntQl+bO0ka4qHfhA4BnM4OowOuFpS2wlv4H/kM="/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2" i="11"/>
  <c r="I10" i="10" l="1"/>
  <c r="I9" i="10"/>
  <c r="D37" i="10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2" i="9"/>
  <c r="I14" i="3" l="1"/>
  <c r="I15" i="3"/>
  <c r="I13" i="3"/>
  <c r="H37" i="6" l="1"/>
  <c r="G37" i="6"/>
</calcChain>
</file>

<file path=xl/sharedStrings.xml><?xml version="1.0" encoding="utf-8"?>
<sst xmlns="http://schemas.openxmlformats.org/spreadsheetml/2006/main" count="845" uniqueCount="124">
  <si>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</si>
  <si>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</si>
  <si>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</si>
  <si>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</si>
  <si>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</si>
  <si>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</si>
  <si>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</si>
  <si>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</si>
  <si>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</si>
  <si>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</si>
  <si>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</si>
  <si>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</si>
  <si>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</si>
  <si>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</si>
  <si>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</si>
  <si>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</si>
  <si>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</si>
  <si>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</si>
  <si>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</si>
  <si>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</si>
  <si>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</si>
  <si>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</si>
  <si>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</si>
  <si>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</si>
  <si>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</si>
  <si>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</si>
  <si>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</si>
  <si>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</si>
  <si>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</si>
  <si>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</si>
  <si>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</si>
  <si>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</si>
  <si>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</si>
  <si>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</si>
  <si>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</si>
  <si>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</si>
  <si>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</si>
  <si>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</si>
  <si>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</si>
  <si>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</si>
  <si>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</si>
  <si>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</si>
  <si>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</si>
  <si>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</si>
  <si>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</si>
  <si>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</si>
  <si>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</si>
  <si>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</si>
  <si>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</si>
  <si>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</si>
  <si>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</si>
  <si>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</si>
  <si>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</si>
  <si>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</si>
  <si>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</si>
  <si>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</si>
  <si>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</si>
  <si>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</si>
  <si>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</si>
  <si>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</si>
  <si>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</si>
  <si>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</si>
  <si>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</si>
  <si>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</si>
  <si>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</si>
  <si>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</si>
  <si>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</si>
  <si>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</si>
  <si>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</si>
  <si>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</si>
  <si>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</si>
  <si>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</si>
  <si>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</si>
  <si>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</si>
  <si>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</si>
  <si>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</si>
  <si>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</si>
  <si>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</si>
  <si>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</si>
  <si>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</si>
  <si>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</si>
  <si>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</si>
  <si>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</si>
  <si>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</si>
  <si>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</si>
  <si>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</si>
  <si>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</si>
  <si>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</si>
  <si>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</si>
  <si>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</si>
  <si>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</si>
  <si>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</si>
  <si>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</si>
  <si>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</si>
  <si>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</si>
  <si>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</si>
  <si>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</si>
  <si>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</si>
  <si>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</si>
  <si>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</si>
  <si>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</si>
  <si>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</si>
  <si>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</si>
  <si>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</si>
  <si>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</si>
  <si>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</si>
  <si>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</si>
  <si>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</si>
  <si>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</si>
  <si>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</si>
  <si>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</si>
  <si>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TOTAL PRODUCT</t>
  </si>
  <si>
    <t>AVERAGE PRICE</t>
  </si>
  <si>
    <t>MINI PRICE</t>
  </si>
  <si>
    <t>MAXI PRICE</t>
  </si>
  <si>
    <t>PRODUCT NAME</t>
  </si>
  <si>
    <t>PRICE</t>
  </si>
  <si>
    <t>RANGE</t>
  </si>
  <si>
    <t xml:space="preserve">                                                       </t>
  </si>
  <si>
    <t>TOTAL ELECTRONICS PRICE</t>
  </si>
  <si>
    <t xml:space="preserve">SUM OF PRODUCT PRICE LESS THAN 100 </t>
  </si>
  <si>
    <t>PRODUCT CODE</t>
  </si>
  <si>
    <t>COUNTRY CODE</t>
  </si>
  <si>
    <t>PRODUCT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</si>
</sst>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sz val="9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DD0E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7" fillId="0" borderId="0" xfId="0" applyFont="1" applyFill="1" applyBorder="1" applyAlignment="1"/>
    <xf numFmtId="0" fontId="0" fillId="0" borderId="0" xfId="0" applyFont="1" applyBorder="1" applyAlignment="1"/>
    <xf numFmtId="0" fontId="6" fillId="0" borderId="0" xfId="0" applyFont="1" applyBorder="1"/>
    <xf numFmtId="0" fontId="0" fillId="0" borderId="3" xfId="0" applyFont="1" applyBorder="1" applyAlignment="1"/>
    <xf numFmtId="0" fontId="5" fillId="6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11" fillId="0" borderId="2" xfId="0" applyFont="1" applyBorder="1" applyAlignment="1"/>
    <xf numFmtId="0" fontId="11" fillId="0" borderId="2" xfId="0" applyFont="1" applyFill="1" applyBorder="1" applyAlignment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7" xfId="0" applyFont="1" applyBorder="1" applyAlignment="1"/>
    <xf numFmtId="0" fontId="9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5" fillId="0" borderId="0" xfId="0" applyFont="1" applyFill="1" applyAlignment="1"/>
    <xf numFmtId="0" fontId="0" fillId="0" borderId="5" xfId="0" applyFont="1" applyBorder="1" applyAlignment="1"/>
    <xf numFmtId="0" fontId="12" fillId="5" borderId="6" xfId="0" applyFont="1" applyFill="1" applyBorder="1" applyAlignment="1"/>
    <xf numFmtId="0" fontId="11" fillId="0" borderId="6" xfId="0" applyFont="1" applyFill="1" applyBorder="1" applyAlignment="1"/>
    <xf numFmtId="0" fontId="11" fillId="0" borderId="6" xfId="0" applyFont="1" applyBorder="1" applyAlignment="1"/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/>
    <xf numFmtId="0" fontId="0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topLeftCell="B7" workbookViewId="0">
      <selection activeCell="C22" sqref="C22:K22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opLeftCell="A16" workbookViewId="0">
      <selection activeCell="B1" sqref="B1:B3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opLeftCell="A4" zoomScale="96" zoomScaleNormal="96" workbookViewId="0">
      <selection activeCell="I13" sqref="I13"/>
    </sheetView>
  </sheetViews>
  <sheetFormatPr defaultColWidth="12.5703125" defaultRowHeight="12.75" x14ac:dyDescent="0.2"/>
  <cols>
    <col min="1" max="1" width="12.5703125" customWidth="1"/>
    <col min="2" max="2" width="14.140625" customWidth="1"/>
    <col min="3" max="6" width="12.5703125" customWidth="1"/>
    <col min="8" max="8" width="16.85546875" bestFit="1" customWidth="1"/>
    <col min="9" max="9" width="19.7109375" bestFit="1" customWidth="1"/>
  </cols>
  <sheetData>
    <row r="1" spans="1:10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30"/>
      <c r="H1" s="31"/>
      <c r="I1" s="31"/>
      <c r="J1" s="12"/>
    </row>
    <row r="2" spans="1:10" ht="15.75" customHeight="1" x14ac:dyDescent="0.2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8"/>
    </row>
    <row r="3" spans="1:10" ht="15.75" customHeight="1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10" ht="15.75" customHeight="1" x14ac:dyDescent="0.2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8"/>
    </row>
    <row r="5" spans="1:10" ht="15.75" customHeight="1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  <c r="H5" s="12"/>
    </row>
    <row r="6" spans="1:10" ht="15.75" customHeight="1" x14ac:dyDescent="0.2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8"/>
    </row>
    <row r="7" spans="1:10" ht="15.75" customHeight="1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10" ht="15.75" customHeight="1" x14ac:dyDescent="0.2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8"/>
    </row>
    <row r="9" spans="1:10" ht="15.75" customHeight="1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  <c r="H9" s="12"/>
    </row>
    <row r="10" spans="1:10" ht="15.75" customHeight="1" x14ac:dyDescent="0.2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8"/>
    </row>
    <row r="11" spans="1:10" ht="15.75" customHeight="1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13"/>
    </row>
    <row r="12" spans="1:10" ht="15.75" customHeight="1" x14ac:dyDescent="0.2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8"/>
      <c r="I12" s="29"/>
    </row>
    <row r="13" spans="1:10" ht="15.75" customHeight="1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  <c r="H13" s="32" t="s">
        <v>110</v>
      </c>
      <c r="I13" s="33">
        <f>SUM(D2:D35)</f>
        <v>10100</v>
      </c>
      <c r="J13" s="25"/>
    </row>
    <row r="14" spans="1:10" ht="15.75" customHeight="1" x14ac:dyDescent="0.2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8"/>
      <c r="H14" s="32" t="s">
        <v>111</v>
      </c>
      <c r="I14" s="33">
        <f>COUNT(D2:D35)</f>
        <v>34</v>
      </c>
      <c r="J14" s="25"/>
    </row>
    <row r="15" spans="1:10" ht="15.75" customHeight="1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  <c r="H15" s="34" t="s">
        <v>112</v>
      </c>
      <c r="I15" s="33">
        <f>AVERAGE(D2:D35)</f>
        <v>297.05882352941177</v>
      </c>
      <c r="J15" s="25"/>
    </row>
    <row r="16" spans="1:10" ht="15.75" customHeight="1" x14ac:dyDescent="0.2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13"/>
      <c r="H16" s="35"/>
      <c r="I16" s="36"/>
      <c r="J16" s="25"/>
    </row>
    <row r="17" spans="1:7" ht="15.75" customHeight="1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8"/>
    </row>
    <row r="19" spans="1:7" ht="15.75" customHeight="1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8"/>
    </row>
    <row r="21" spans="1:7" ht="15.75" customHeight="1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8"/>
    </row>
    <row r="23" spans="1:7" ht="15.75" customHeight="1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8"/>
    </row>
    <row r="25" spans="1:7" ht="15.75" customHeight="1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8"/>
    </row>
    <row r="27" spans="1:7" ht="15.75" customHeight="1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8"/>
    </row>
    <row r="29" spans="1:7" ht="15.75" customHeight="1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8"/>
    </row>
    <row r="31" spans="1:7" ht="15.75" customHeight="1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8"/>
    </row>
    <row r="33" spans="1:7" ht="15.75" customHeight="1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8"/>
    </row>
    <row r="35" spans="1:7" ht="15.75" customHeight="1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"/>
    <row r="37" spans="1:7" ht="15.75" customHeight="1" x14ac:dyDescent="0.2">
      <c r="D37" s="11"/>
      <c r="E37" s="12"/>
    </row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H17" sqref="H17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7" max="7" width="11.140625" bestFit="1" customWidth="1"/>
    <col min="8" max="8" width="11.85546875" bestFit="1" customWidth="1"/>
  </cols>
  <sheetData>
    <row r="1" spans="1:8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16" t="s">
        <v>22</v>
      </c>
      <c r="G1" s="17" t="s">
        <v>113</v>
      </c>
      <c r="H1" s="15" t="s">
        <v>114</v>
      </c>
    </row>
    <row r="2" spans="1:8" x14ac:dyDescent="0.2">
      <c r="A2" s="20" t="s">
        <v>23</v>
      </c>
      <c r="B2" s="20" t="s">
        <v>24</v>
      </c>
      <c r="C2" s="20" t="s">
        <v>25</v>
      </c>
      <c r="D2" s="20">
        <v>1000</v>
      </c>
      <c r="E2" s="20">
        <v>30</v>
      </c>
      <c r="F2" s="20" t="s">
        <v>26</v>
      </c>
      <c r="G2" s="21">
        <v>1000</v>
      </c>
      <c r="H2" s="21">
        <v>1000</v>
      </c>
    </row>
    <row r="3" spans="1:8" x14ac:dyDescent="0.2">
      <c r="A3" s="22" t="s">
        <v>27</v>
      </c>
      <c r="B3" s="22" t="s">
        <v>28</v>
      </c>
      <c r="C3" s="22" t="s">
        <v>29</v>
      </c>
      <c r="D3" s="22">
        <v>80</v>
      </c>
      <c r="E3" s="22">
        <v>15</v>
      </c>
      <c r="F3" s="22" t="s">
        <v>30</v>
      </c>
      <c r="G3" s="23">
        <v>80</v>
      </c>
      <c r="H3" s="23">
        <v>80</v>
      </c>
    </row>
    <row r="4" spans="1:8" x14ac:dyDescent="0.2">
      <c r="A4" s="20" t="s">
        <v>31</v>
      </c>
      <c r="B4" s="20" t="s">
        <v>32</v>
      </c>
      <c r="C4" s="20" t="s">
        <v>33</v>
      </c>
      <c r="D4" s="20">
        <v>130</v>
      </c>
      <c r="E4" s="20">
        <v>40</v>
      </c>
      <c r="F4" s="20" t="s">
        <v>34</v>
      </c>
      <c r="G4" s="21">
        <v>130</v>
      </c>
      <c r="H4" s="21">
        <v>130</v>
      </c>
    </row>
    <row r="5" spans="1:8" x14ac:dyDescent="0.2">
      <c r="A5" s="22" t="s">
        <v>35</v>
      </c>
      <c r="B5" s="22" t="s">
        <v>36</v>
      </c>
      <c r="C5" s="22" t="s">
        <v>37</v>
      </c>
      <c r="D5" s="22">
        <v>900</v>
      </c>
      <c r="E5" s="22">
        <v>25</v>
      </c>
      <c r="F5" s="22" t="s">
        <v>26</v>
      </c>
      <c r="G5" s="23">
        <v>900</v>
      </c>
      <c r="H5" s="23">
        <v>900</v>
      </c>
    </row>
    <row r="6" spans="1:8" x14ac:dyDescent="0.2">
      <c r="A6" s="20" t="s">
        <v>38</v>
      </c>
      <c r="B6" s="20" t="s">
        <v>39</v>
      </c>
      <c r="C6" s="20" t="s">
        <v>40</v>
      </c>
      <c r="D6" s="20">
        <v>70</v>
      </c>
      <c r="E6" s="20">
        <v>20</v>
      </c>
      <c r="F6" s="20" t="s">
        <v>41</v>
      </c>
      <c r="G6" s="21">
        <v>70</v>
      </c>
      <c r="H6" s="21">
        <v>70</v>
      </c>
    </row>
    <row r="7" spans="1:8" x14ac:dyDescent="0.2">
      <c r="A7" s="22" t="s">
        <v>42</v>
      </c>
      <c r="B7" s="22" t="s">
        <v>43</v>
      </c>
      <c r="C7" s="22" t="s">
        <v>44</v>
      </c>
      <c r="D7" s="22">
        <v>200</v>
      </c>
      <c r="E7" s="22">
        <v>45</v>
      </c>
      <c r="F7" s="22" t="s">
        <v>26</v>
      </c>
      <c r="G7" s="23">
        <v>200</v>
      </c>
      <c r="H7" s="23">
        <v>200</v>
      </c>
    </row>
    <row r="8" spans="1:8" x14ac:dyDescent="0.2">
      <c r="A8" s="20" t="s">
        <v>45</v>
      </c>
      <c r="B8" s="20" t="s">
        <v>46</v>
      </c>
      <c r="C8" s="20" t="s">
        <v>47</v>
      </c>
      <c r="D8" s="20">
        <v>30</v>
      </c>
      <c r="E8" s="20">
        <v>5</v>
      </c>
      <c r="F8" s="20" t="s">
        <v>30</v>
      </c>
      <c r="G8" s="21">
        <v>30</v>
      </c>
      <c r="H8" s="21">
        <v>30</v>
      </c>
    </row>
    <row r="9" spans="1:8" x14ac:dyDescent="0.2">
      <c r="A9" s="22" t="s">
        <v>48</v>
      </c>
      <c r="B9" s="22" t="s">
        <v>49</v>
      </c>
      <c r="C9" s="22" t="s">
        <v>50</v>
      </c>
      <c r="D9" s="22">
        <v>90</v>
      </c>
      <c r="E9" s="22">
        <v>35</v>
      </c>
      <c r="F9" s="22" t="s">
        <v>34</v>
      </c>
      <c r="G9" s="23">
        <v>90</v>
      </c>
      <c r="H9" s="23">
        <v>90</v>
      </c>
    </row>
    <row r="10" spans="1:8" x14ac:dyDescent="0.2">
      <c r="A10" s="20" t="s">
        <v>51</v>
      </c>
      <c r="B10" s="20" t="s">
        <v>52</v>
      </c>
      <c r="C10" s="20" t="s">
        <v>53</v>
      </c>
      <c r="D10" s="20">
        <v>500</v>
      </c>
      <c r="E10" s="20">
        <v>50</v>
      </c>
      <c r="F10" s="20" t="s">
        <v>26</v>
      </c>
      <c r="G10" s="21">
        <v>500</v>
      </c>
      <c r="H10" s="21">
        <v>500</v>
      </c>
    </row>
    <row r="11" spans="1:8" x14ac:dyDescent="0.2">
      <c r="A11" s="22" t="s">
        <v>54</v>
      </c>
      <c r="B11" s="22" t="s">
        <v>55</v>
      </c>
      <c r="C11" s="22" t="s">
        <v>56</v>
      </c>
      <c r="D11" s="22">
        <v>130</v>
      </c>
      <c r="E11" s="22">
        <v>10</v>
      </c>
      <c r="F11" s="22" t="s">
        <v>41</v>
      </c>
      <c r="G11" s="23">
        <v>130</v>
      </c>
      <c r="H11" s="23">
        <v>130</v>
      </c>
    </row>
    <row r="12" spans="1:8" x14ac:dyDescent="0.2">
      <c r="A12" s="20" t="s">
        <v>57</v>
      </c>
      <c r="B12" s="20" t="s">
        <v>24</v>
      </c>
      <c r="C12" s="20" t="s">
        <v>58</v>
      </c>
      <c r="D12" s="20">
        <v>950</v>
      </c>
      <c r="E12" s="20">
        <v>25</v>
      </c>
      <c r="F12" s="20" t="s">
        <v>26</v>
      </c>
      <c r="G12" s="21">
        <v>950</v>
      </c>
      <c r="H12" s="21">
        <v>950</v>
      </c>
    </row>
    <row r="13" spans="1:8" x14ac:dyDescent="0.2">
      <c r="A13" s="22" t="s">
        <v>59</v>
      </c>
      <c r="B13" s="22" t="s">
        <v>28</v>
      </c>
      <c r="C13" s="22" t="s">
        <v>47</v>
      </c>
      <c r="D13" s="22">
        <v>90</v>
      </c>
      <c r="E13" s="22">
        <v>40</v>
      </c>
      <c r="F13" s="22" t="s">
        <v>30</v>
      </c>
      <c r="G13" s="23">
        <v>90</v>
      </c>
      <c r="H13" s="23">
        <v>90</v>
      </c>
    </row>
    <row r="14" spans="1:8" x14ac:dyDescent="0.2">
      <c r="A14" s="20" t="s">
        <v>60</v>
      </c>
      <c r="B14" s="20" t="s">
        <v>32</v>
      </c>
      <c r="C14" s="20" t="s">
        <v>61</v>
      </c>
      <c r="D14" s="20">
        <v>120</v>
      </c>
      <c r="E14" s="20">
        <v>35</v>
      </c>
      <c r="F14" s="20" t="s">
        <v>34</v>
      </c>
      <c r="G14" s="21">
        <v>120</v>
      </c>
      <c r="H14" s="21">
        <v>120</v>
      </c>
    </row>
    <row r="15" spans="1:8" x14ac:dyDescent="0.2">
      <c r="A15" s="22" t="s">
        <v>62</v>
      </c>
      <c r="B15" s="22" t="s">
        <v>63</v>
      </c>
      <c r="C15" s="22" t="s">
        <v>64</v>
      </c>
      <c r="D15" s="22">
        <v>150</v>
      </c>
      <c r="E15" s="22">
        <v>15</v>
      </c>
      <c r="F15" s="22" t="s">
        <v>26</v>
      </c>
      <c r="G15" s="23">
        <v>150</v>
      </c>
      <c r="H15" s="23">
        <v>150</v>
      </c>
    </row>
    <row r="16" spans="1:8" x14ac:dyDescent="0.2">
      <c r="A16" s="20" t="s">
        <v>65</v>
      </c>
      <c r="B16" s="20" t="s">
        <v>43</v>
      </c>
      <c r="C16" s="20" t="s">
        <v>66</v>
      </c>
      <c r="D16" s="20">
        <v>250</v>
      </c>
      <c r="E16" s="20">
        <v>20</v>
      </c>
      <c r="F16" s="20" t="s">
        <v>26</v>
      </c>
      <c r="G16" s="21">
        <v>250</v>
      </c>
      <c r="H16" s="21">
        <v>250</v>
      </c>
    </row>
    <row r="17" spans="1:8" x14ac:dyDescent="0.2">
      <c r="A17" s="22" t="s">
        <v>67</v>
      </c>
      <c r="B17" s="22" t="s">
        <v>68</v>
      </c>
      <c r="C17" s="22" t="s">
        <v>69</v>
      </c>
      <c r="D17" s="22">
        <v>50</v>
      </c>
      <c r="E17" s="22">
        <v>35</v>
      </c>
      <c r="F17" s="22" t="s">
        <v>70</v>
      </c>
      <c r="G17" s="23">
        <v>50</v>
      </c>
      <c r="H17" s="23">
        <v>50</v>
      </c>
    </row>
    <row r="18" spans="1:8" x14ac:dyDescent="0.2">
      <c r="A18" s="20" t="s">
        <v>71</v>
      </c>
      <c r="B18" s="20" t="s">
        <v>63</v>
      </c>
      <c r="C18" s="20" t="s">
        <v>72</v>
      </c>
      <c r="D18" s="20">
        <v>160</v>
      </c>
      <c r="E18" s="20">
        <v>15</v>
      </c>
      <c r="F18" s="20" t="s">
        <v>26</v>
      </c>
      <c r="G18" s="21">
        <v>160</v>
      </c>
      <c r="H18" s="21">
        <v>160</v>
      </c>
    </row>
    <row r="19" spans="1:8" x14ac:dyDescent="0.2">
      <c r="A19" s="22" t="s">
        <v>73</v>
      </c>
      <c r="B19" s="22" t="s">
        <v>24</v>
      </c>
      <c r="C19" s="22" t="s">
        <v>74</v>
      </c>
      <c r="D19" s="22">
        <v>980</v>
      </c>
      <c r="E19" s="22">
        <v>10</v>
      </c>
      <c r="F19" s="22" t="s">
        <v>26</v>
      </c>
      <c r="G19" s="23">
        <v>980</v>
      </c>
      <c r="H19" s="23">
        <v>980</v>
      </c>
    </row>
    <row r="20" spans="1:8" x14ac:dyDescent="0.2">
      <c r="A20" s="20" t="s">
        <v>75</v>
      </c>
      <c r="B20" s="20" t="s">
        <v>76</v>
      </c>
      <c r="C20" s="20" t="s">
        <v>77</v>
      </c>
      <c r="D20" s="20">
        <v>150</v>
      </c>
      <c r="E20" s="20">
        <v>15</v>
      </c>
      <c r="F20" s="20" t="s">
        <v>30</v>
      </c>
      <c r="G20" s="21">
        <v>150</v>
      </c>
      <c r="H20" s="21">
        <v>150</v>
      </c>
    </row>
    <row r="21" spans="1:8" x14ac:dyDescent="0.2">
      <c r="A21" s="22" t="s">
        <v>78</v>
      </c>
      <c r="B21" s="22" t="s">
        <v>79</v>
      </c>
      <c r="C21" s="22" t="s">
        <v>80</v>
      </c>
      <c r="D21" s="22">
        <v>200</v>
      </c>
      <c r="E21" s="22">
        <v>10</v>
      </c>
      <c r="F21" s="22" t="s">
        <v>41</v>
      </c>
      <c r="G21" s="23">
        <v>200</v>
      </c>
      <c r="H21" s="23">
        <v>200</v>
      </c>
    </row>
    <row r="22" spans="1:8" x14ac:dyDescent="0.2">
      <c r="A22" s="20" t="s">
        <v>81</v>
      </c>
      <c r="B22" s="20" t="s">
        <v>82</v>
      </c>
      <c r="C22" s="20" t="s">
        <v>83</v>
      </c>
      <c r="D22" s="20">
        <v>700</v>
      </c>
      <c r="E22" s="20">
        <v>50</v>
      </c>
      <c r="F22" s="20" t="s">
        <v>26</v>
      </c>
      <c r="G22" s="21">
        <v>700</v>
      </c>
      <c r="H22" s="21">
        <v>700</v>
      </c>
    </row>
    <row r="23" spans="1:8" x14ac:dyDescent="0.2">
      <c r="A23" s="22" t="s">
        <v>84</v>
      </c>
      <c r="B23" s="22" t="s">
        <v>85</v>
      </c>
      <c r="C23" s="22" t="s">
        <v>86</v>
      </c>
      <c r="D23" s="22">
        <v>80</v>
      </c>
      <c r="E23" s="22">
        <v>20</v>
      </c>
      <c r="F23" s="22" t="s">
        <v>34</v>
      </c>
      <c r="G23" s="23">
        <v>80</v>
      </c>
      <c r="H23" s="23">
        <v>80</v>
      </c>
    </row>
    <row r="24" spans="1:8" x14ac:dyDescent="0.2">
      <c r="A24" s="20" t="s">
        <v>87</v>
      </c>
      <c r="B24" s="20" t="s">
        <v>88</v>
      </c>
      <c r="C24" s="20" t="s">
        <v>89</v>
      </c>
      <c r="D24" s="20">
        <v>150</v>
      </c>
      <c r="E24" s="20">
        <v>30</v>
      </c>
      <c r="F24" s="20" t="s">
        <v>26</v>
      </c>
      <c r="G24" s="21">
        <v>150</v>
      </c>
      <c r="H24" s="21">
        <v>150</v>
      </c>
    </row>
    <row r="25" spans="1:8" x14ac:dyDescent="0.2">
      <c r="A25" s="22" t="s">
        <v>67</v>
      </c>
      <c r="B25" s="22" t="s">
        <v>68</v>
      </c>
      <c r="C25" s="22" t="s">
        <v>69</v>
      </c>
      <c r="D25" s="22">
        <v>50</v>
      </c>
      <c r="E25" s="22">
        <v>35</v>
      </c>
      <c r="F25" s="22" t="s">
        <v>70</v>
      </c>
      <c r="G25" s="23">
        <v>50</v>
      </c>
      <c r="H25" s="23">
        <v>50</v>
      </c>
    </row>
    <row r="26" spans="1:8" x14ac:dyDescent="0.2">
      <c r="A26" s="20" t="s">
        <v>90</v>
      </c>
      <c r="B26" s="20" t="s">
        <v>36</v>
      </c>
      <c r="C26" s="20" t="s">
        <v>91</v>
      </c>
      <c r="D26" s="20">
        <v>800</v>
      </c>
      <c r="E26" s="20">
        <v>45</v>
      </c>
      <c r="F26" s="20" t="s">
        <v>26</v>
      </c>
      <c r="G26" s="21">
        <v>800</v>
      </c>
      <c r="H26" s="21">
        <v>800</v>
      </c>
    </row>
    <row r="27" spans="1:8" x14ac:dyDescent="0.2">
      <c r="A27" s="22" t="s">
        <v>92</v>
      </c>
      <c r="B27" s="22" t="s">
        <v>76</v>
      </c>
      <c r="C27" s="22" t="s">
        <v>93</v>
      </c>
      <c r="D27" s="22">
        <v>130</v>
      </c>
      <c r="E27" s="22">
        <v>25</v>
      </c>
      <c r="F27" s="22" t="s">
        <v>30</v>
      </c>
      <c r="G27" s="23">
        <v>130</v>
      </c>
      <c r="H27" s="23">
        <v>130</v>
      </c>
    </row>
    <row r="28" spans="1:8" x14ac:dyDescent="0.2">
      <c r="A28" s="20" t="s">
        <v>94</v>
      </c>
      <c r="B28" s="20" t="s">
        <v>49</v>
      </c>
      <c r="C28" s="20" t="s">
        <v>95</v>
      </c>
      <c r="D28" s="20">
        <v>400</v>
      </c>
      <c r="E28" s="20">
        <v>40</v>
      </c>
      <c r="F28" s="20" t="s">
        <v>34</v>
      </c>
      <c r="G28" s="21">
        <v>400</v>
      </c>
      <c r="H28" s="21">
        <v>400</v>
      </c>
    </row>
    <row r="29" spans="1:8" x14ac:dyDescent="0.2">
      <c r="A29" s="22" t="s">
        <v>65</v>
      </c>
      <c r="B29" s="22" t="s">
        <v>43</v>
      </c>
      <c r="C29" s="22" t="s">
        <v>66</v>
      </c>
      <c r="D29" s="22">
        <v>230</v>
      </c>
      <c r="E29" s="22">
        <v>20</v>
      </c>
      <c r="F29" s="22" t="s">
        <v>26</v>
      </c>
      <c r="G29" s="23">
        <v>230</v>
      </c>
      <c r="H29" s="23">
        <v>230</v>
      </c>
    </row>
    <row r="30" spans="1:8" x14ac:dyDescent="0.2">
      <c r="A30" s="20" t="s">
        <v>96</v>
      </c>
      <c r="B30" s="20" t="s">
        <v>97</v>
      </c>
      <c r="C30" s="20" t="s">
        <v>98</v>
      </c>
      <c r="D30" s="20">
        <v>60</v>
      </c>
      <c r="E30" s="20">
        <v>30</v>
      </c>
      <c r="F30" s="20" t="s">
        <v>30</v>
      </c>
      <c r="G30" s="21">
        <v>60</v>
      </c>
      <c r="H30" s="21">
        <v>60</v>
      </c>
    </row>
    <row r="31" spans="1:8" x14ac:dyDescent="0.2">
      <c r="A31" s="22" t="s">
        <v>99</v>
      </c>
      <c r="B31" s="22" t="s">
        <v>100</v>
      </c>
      <c r="C31" s="22" t="s">
        <v>101</v>
      </c>
      <c r="D31" s="22">
        <v>40</v>
      </c>
      <c r="E31" s="22">
        <v>10</v>
      </c>
      <c r="F31" s="22" t="s">
        <v>34</v>
      </c>
      <c r="G31" s="23">
        <v>40</v>
      </c>
      <c r="H31" s="23">
        <v>40</v>
      </c>
    </row>
    <row r="32" spans="1:8" x14ac:dyDescent="0.2">
      <c r="A32" s="20" t="s">
        <v>102</v>
      </c>
      <c r="B32" s="20" t="s">
        <v>88</v>
      </c>
      <c r="C32" s="20" t="s">
        <v>103</v>
      </c>
      <c r="D32" s="20">
        <v>130</v>
      </c>
      <c r="E32" s="20">
        <v>5</v>
      </c>
      <c r="F32" s="20" t="s">
        <v>26</v>
      </c>
      <c r="G32" s="21">
        <v>130</v>
      </c>
      <c r="H32" s="21">
        <v>130</v>
      </c>
    </row>
    <row r="33" spans="1:8" x14ac:dyDescent="0.2">
      <c r="A33" s="22" t="s">
        <v>104</v>
      </c>
      <c r="B33" s="22" t="s">
        <v>105</v>
      </c>
      <c r="C33" s="22" t="s">
        <v>106</v>
      </c>
      <c r="D33" s="22">
        <v>50</v>
      </c>
      <c r="E33" s="22">
        <v>50</v>
      </c>
      <c r="F33" s="22" t="s">
        <v>30</v>
      </c>
      <c r="G33" s="23">
        <v>50</v>
      </c>
      <c r="H33" s="23">
        <v>50</v>
      </c>
    </row>
    <row r="34" spans="1:8" x14ac:dyDescent="0.2">
      <c r="A34" s="20" t="s">
        <v>57</v>
      </c>
      <c r="B34" s="20" t="s">
        <v>24</v>
      </c>
      <c r="C34" s="20" t="s">
        <v>58</v>
      </c>
      <c r="D34" s="20">
        <v>950</v>
      </c>
      <c r="E34" s="20">
        <v>25</v>
      </c>
      <c r="F34" s="20" t="s">
        <v>26</v>
      </c>
      <c r="G34" s="21">
        <v>950</v>
      </c>
      <c r="H34" s="21">
        <v>950</v>
      </c>
    </row>
    <row r="35" spans="1:8" x14ac:dyDescent="0.2">
      <c r="A35" s="22" t="s">
        <v>107</v>
      </c>
      <c r="B35" s="22" t="s">
        <v>108</v>
      </c>
      <c r="C35" s="22" t="s">
        <v>109</v>
      </c>
      <c r="D35" s="22">
        <v>100</v>
      </c>
      <c r="E35" s="22">
        <v>20</v>
      </c>
      <c r="F35" s="22" t="s">
        <v>70</v>
      </c>
      <c r="G35" s="23">
        <v>100</v>
      </c>
      <c r="H35" s="23">
        <v>100</v>
      </c>
    </row>
    <row r="36" spans="1:8" ht="13.5" thickBot="1" x14ac:dyDescent="0.25">
      <c r="G36" s="18"/>
      <c r="H36" s="19"/>
    </row>
    <row r="37" spans="1:8" ht="13.5" thickBot="1" x14ac:dyDescent="0.25">
      <c r="F37" s="14"/>
      <c r="G37" s="24">
        <f>MIN(D2:D35)</f>
        <v>30</v>
      </c>
      <c r="H37" s="24">
        <f>MAX(D2:D35)</f>
        <v>1000</v>
      </c>
    </row>
    <row r="38" spans="1:8" x14ac:dyDescent="0.2">
      <c r="G38" s="25"/>
      <c r="H38" s="2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zoomScale="98" zoomScaleNormal="98" workbookViewId="0">
      <selection activeCell="H20" sqref="H20"/>
    </sheetView>
  </sheetViews>
  <sheetFormatPr defaultRowHeight="12.75" x14ac:dyDescent="0.2"/>
  <cols>
    <col min="1" max="1" width="11.140625" bestFit="1" customWidth="1"/>
    <col min="2" max="2" width="14.28515625" bestFit="1" customWidth="1"/>
    <col min="3" max="3" width="12.5703125" bestFit="1" customWidth="1"/>
    <col min="4" max="4" width="8.5703125" bestFit="1" customWidth="1"/>
    <col min="5" max="5" width="8.7109375" bestFit="1" customWidth="1"/>
    <col min="6" max="6" width="11.5703125" bestFit="1" customWidth="1"/>
    <col min="7" max="7" width="14.28515625" bestFit="1" customWidth="1"/>
    <col min="8" max="8" width="6.7109375" bestFit="1" customWidth="1"/>
    <col min="9" max="9" width="17.7109375" bestFit="1" customWidth="1"/>
    <col min="10" max="10" width="8.28515625" customWidth="1"/>
  </cols>
  <sheetData>
    <row r="1" spans="1:10" ht="25.5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16" t="s">
        <v>22</v>
      </c>
      <c r="G1" s="37" t="s">
        <v>115</v>
      </c>
      <c r="H1" s="38" t="s">
        <v>116</v>
      </c>
      <c r="I1" s="39" t="s">
        <v>117</v>
      </c>
      <c r="J1" s="26"/>
    </row>
    <row r="2" spans="1:10" x14ac:dyDescent="0.2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40" t="s">
        <v>24</v>
      </c>
      <c r="H2" s="40">
        <v>1000</v>
      </c>
      <c r="I2" s="43" t="str">
        <f>IF(D2&gt;500,"HIGH PRICE","STANDARD PRICE")</f>
        <v>HIGH PRICE</v>
      </c>
      <c r="J2" s="28"/>
    </row>
    <row r="3" spans="1:10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41" t="s">
        <v>28</v>
      </c>
      <c r="H3" s="41">
        <v>80</v>
      </c>
      <c r="I3" s="43" t="str">
        <f t="shared" ref="I3:I35" si="0">IF(D3&gt;500,"HIGH PRICE","STANDARD PRICE")</f>
        <v>STANDARD PRICE</v>
      </c>
      <c r="J3" s="27"/>
    </row>
    <row r="4" spans="1:10" x14ac:dyDescent="0.2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40" t="s">
        <v>32</v>
      </c>
      <c r="H4" s="40">
        <v>130</v>
      </c>
      <c r="I4" s="43" t="str">
        <f t="shared" si="0"/>
        <v>STANDARD PRICE</v>
      </c>
      <c r="J4" s="27"/>
    </row>
    <row r="5" spans="1:10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41" t="s">
        <v>36</v>
      </c>
      <c r="H5" s="41">
        <v>900</v>
      </c>
      <c r="I5" s="43" t="str">
        <f t="shared" si="0"/>
        <v>HIGH PRICE</v>
      </c>
      <c r="J5" s="28"/>
    </row>
    <row r="6" spans="1:10" x14ac:dyDescent="0.2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40" t="s">
        <v>39</v>
      </c>
      <c r="H6" s="40">
        <v>70</v>
      </c>
      <c r="I6" s="43" t="str">
        <f t="shared" si="0"/>
        <v>STANDARD PRICE</v>
      </c>
      <c r="J6" s="27"/>
    </row>
    <row r="7" spans="1:10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41" t="s">
        <v>43</v>
      </c>
      <c r="H7" s="41">
        <v>200</v>
      </c>
      <c r="I7" s="43" t="str">
        <f t="shared" si="0"/>
        <v>STANDARD PRICE</v>
      </c>
      <c r="J7" s="27"/>
    </row>
    <row r="8" spans="1:10" x14ac:dyDescent="0.2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40" t="s">
        <v>46</v>
      </c>
      <c r="H8" s="42">
        <v>30</v>
      </c>
      <c r="I8" s="43" t="str">
        <f t="shared" si="0"/>
        <v>STANDARD PRICE</v>
      </c>
      <c r="J8" s="27"/>
    </row>
    <row r="9" spans="1:10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41" t="s">
        <v>49</v>
      </c>
      <c r="H9" s="41">
        <v>90</v>
      </c>
      <c r="I9" s="43" t="str">
        <f t="shared" si="0"/>
        <v>STANDARD PRICE</v>
      </c>
      <c r="J9" s="27"/>
    </row>
    <row r="10" spans="1:10" x14ac:dyDescent="0.2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40" t="s">
        <v>52</v>
      </c>
      <c r="H10" s="40">
        <v>500</v>
      </c>
      <c r="I10" s="43" t="str">
        <f t="shared" si="0"/>
        <v>STANDARD PRICE</v>
      </c>
      <c r="J10" s="28"/>
    </row>
    <row r="11" spans="1:10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41" t="s">
        <v>55</v>
      </c>
      <c r="H11" s="41">
        <v>130</v>
      </c>
      <c r="I11" s="43" t="str">
        <f t="shared" si="0"/>
        <v>STANDARD PRICE</v>
      </c>
      <c r="J11" s="27"/>
    </row>
    <row r="12" spans="1:10" x14ac:dyDescent="0.2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40" t="s">
        <v>24</v>
      </c>
      <c r="H12" s="40">
        <v>950</v>
      </c>
      <c r="I12" s="43" t="str">
        <f t="shared" si="0"/>
        <v>HIGH PRICE</v>
      </c>
      <c r="J12" s="28"/>
    </row>
    <row r="13" spans="1:10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41" t="s">
        <v>28</v>
      </c>
      <c r="H13" s="41">
        <v>90</v>
      </c>
      <c r="I13" s="43" t="str">
        <f t="shared" si="0"/>
        <v>STANDARD PRICE</v>
      </c>
      <c r="J13" s="27"/>
    </row>
    <row r="14" spans="1:10" x14ac:dyDescent="0.2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40" t="s">
        <v>32</v>
      </c>
      <c r="H14" s="40">
        <v>120</v>
      </c>
      <c r="I14" s="43" t="str">
        <f t="shared" si="0"/>
        <v>STANDARD PRICE</v>
      </c>
      <c r="J14" s="27"/>
    </row>
    <row r="15" spans="1:10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41" t="s">
        <v>63</v>
      </c>
      <c r="H15" s="41">
        <v>150</v>
      </c>
      <c r="I15" s="43" t="str">
        <f t="shared" si="0"/>
        <v>STANDARD PRICE</v>
      </c>
      <c r="J15" s="27"/>
    </row>
    <row r="16" spans="1:10" x14ac:dyDescent="0.2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40" t="s">
        <v>43</v>
      </c>
      <c r="H16" s="40">
        <v>250</v>
      </c>
      <c r="I16" s="43" t="str">
        <f t="shared" si="0"/>
        <v>STANDARD PRICE</v>
      </c>
      <c r="J16" s="27"/>
    </row>
    <row r="17" spans="1:10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41" t="s">
        <v>68</v>
      </c>
      <c r="H17" s="41">
        <v>50</v>
      </c>
      <c r="I17" s="43" t="str">
        <f t="shared" si="0"/>
        <v>STANDARD PRICE</v>
      </c>
      <c r="J17" s="27"/>
    </row>
    <row r="18" spans="1:10" x14ac:dyDescent="0.2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40" t="s">
        <v>63</v>
      </c>
      <c r="H18" s="40">
        <v>160</v>
      </c>
      <c r="I18" s="43" t="str">
        <f t="shared" si="0"/>
        <v>STANDARD PRICE</v>
      </c>
      <c r="J18" s="27"/>
    </row>
    <row r="19" spans="1:10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41" t="s">
        <v>24</v>
      </c>
      <c r="H19" s="41">
        <v>980</v>
      </c>
      <c r="I19" s="43" t="str">
        <f t="shared" si="0"/>
        <v>HIGH PRICE</v>
      </c>
      <c r="J19" s="28"/>
    </row>
    <row r="20" spans="1:10" x14ac:dyDescent="0.2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40" t="s">
        <v>76</v>
      </c>
      <c r="H20" s="40">
        <v>150</v>
      </c>
      <c r="I20" s="43" t="str">
        <f t="shared" si="0"/>
        <v>STANDARD PRICE</v>
      </c>
      <c r="J20" s="27"/>
    </row>
    <row r="21" spans="1:10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41" t="s">
        <v>79</v>
      </c>
      <c r="H21" s="41">
        <v>200</v>
      </c>
      <c r="I21" s="43" t="str">
        <f t="shared" si="0"/>
        <v>STANDARD PRICE</v>
      </c>
      <c r="J21" s="28"/>
    </row>
    <row r="22" spans="1:10" x14ac:dyDescent="0.2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40" t="s">
        <v>82</v>
      </c>
      <c r="H22" s="40">
        <v>700</v>
      </c>
      <c r="I22" s="43" t="str">
        <f t="shared" si="0"/>
        <v>HIGH PRICE</v>
      </c>
      <c r="J22" s="28"/>
    </row>
    <row r="23" spans="1:10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41" t="s">
        <v>85</v>
      </c>
      <c r="H23" s="41">
        <v>80</v>
      </c>
      <c r="I23" s="43" t="str">
        <f t="shared" si="0"/>
        <v>STANDARD PRICE</v>
      </c>
      <c r="J23" s="27"/>
    </row>
    <row r="24" spans="1:10" x14ac:dyDescent="0.2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40" t="s">
        <v>88</v>
      </c>
      <c r="H24" s="40">
        <v>150</v>
      </c>
      <c r="I24" s="43" t="str">
        <f t="shared" si="0"/>
        <v>STANDARD PRICE</v>
      </c>
      <c r="J24" s="28"/>
    </row>
    <row r="25" spans="1:10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41" t="s">
        <v>68</v>
      </c>
      <c r="H25" s="41">
        <v>50</v>
      </c>
      <c r="I25" s="43" t="str">
        <f t="shared" si="0"/>
        <v>STANDARD PRICE</v>
      </c>
    </row>
    <row r="26" spans="1:10" x14ac:dyDescent="0.2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40" t="s">
        <v>36</v>
      </c>
      <c r="H26" s="40">
        <v>800</v>
      </c>
      <c r="I26" s="43" t="str">
        <f t="shared" si="0"/>
        <v>HIGH PRICE</v>
      </c>
    </row>
    <row r="27" spans="1:10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41" t="s">
        <v>76</v>
      </c>
      <c r="H27" s="41">
        <v>130</v>
      </c>
      <c r="I27" s="43" t="str">
        <f t="shared" si="0"/>
        <v>STANDARD PRICE</v>
      </c>
    </row>
    <row r="28" spans="1:10" x14ac:dyDescent="0.2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40" t="s">
        <v>49</v>
      </c>
      <c r="H28" s="40">
        <v>400</v>
      </c>
      <c r="I28" s="43" t="str">
        <f t="shared" si="0"/>
        <v>STANDARD PRICE</v>
      </c>
    </row>
    <row r="29" spans="1:10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41" t="s">
        <v>43</v>
      </c>
      <c r="H29" s="41">
        <v>230</v>
      </c>
      <c r="I29" s="43" t="str">
        <f t="shared" si="0"/>
        <v>STANDARD PRICE</v>
      </c>
    </row>
    <row r="30" spans="1:10" x14ac:dyDescent="0.2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40" t="s">
        <v>97</v>
      </c>
      <c r="H30" s="40">
        <v>60</v>
      </c>
      <c r="I30" s="43" t="str">
        <f t="shared" si="0"/>
        <v>STANDARD PRICE</v>
      </c>
    </row>
    <row r="31" spans="1:10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41" t="s">
        <v>100</v>
      </c>
      <c r="H31" s="41">
        <v>40</v>
      </c>
      <c r="I31" s="43" t="str">
        <f t="shared" si="0"/>
        <v>STANDARD PRICE</v>
      </c>
    </row>
    <row r="32" spans="1:10" x14ac:dyDescent="0.2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40" t="s">
        <v>88</v>
      </c>
      <c r="H32" s="40">
        <v>130</v>
      </c>
      <c r="I32" s="43" t="str">
        <f t="shared" si="0"/>
        <v>STANDARD PRICE</v>
      </c>
    </row>
    <row r="33" spans="1:9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41" t="s">
        <v>105</v>
      </c>
      <c r="H33" s="41">
        <v>50</v>
      </c>
      <c r="I33" s="43" t="str">
        <f t="shared" si="0"/>
        <v>STANDARD PRICE</v>
      </c>
    </row>
    <row r="34" spans="1:9" x14ac:dyDescent="0.2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40" t="s">
        <v>24</v>
      </c>
      <c r="H34" s="40">
        <v>950</v>
      </c>
      <c r="I34" s="43" t="str">
        <f t="shared" si="0"/>
        <v>HIGH PRICE</v>
      </c>
    </row>
    <row r="35" spans="1:9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41" t="s">
        <v>108</v>
      </c>
      <c r="H35" s="41">
        <v>100</v>
      </c>
      <c r="I35" s="43" t="str">
        <f t="shared" si="0"/>
        <v>STANDARD PRICE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B1" workbookViewId="0">
      <selection activeCell="G40" sqref="G40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7" max="7" width="16" bestFit="1" customWidth="1"/>
    <col min="8" max="8" width="38" customWidth="1"/>
  </cols>
  <sheetData>
    <row r="1" spans="1:9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44"/>
      <c r="H1" s="44"/>
    </row>
    <row r="2" spans="1:9" x14ac:dyDescent="0.2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</row>
    <row r="3" spans="1:9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45" t="s">
        <v>118</v>
      </c>
    </row>
    <row r="4" spans="1:9" x14ac:dyDescent="0.2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</row>
    <row r="5" spans="1:9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</row>
    <row r="6" spans="1:9" x14ac:dyDescent="0.2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</row>
    <row r="7" spans="1:9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</row>
    <row r="8" spans="1:9" x14ac:dyDescent="0.2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H8" s="29"/>
      <c r="I8" s="29"/>
    </row>
    <row r="9" spans="1:9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46"/>
      <c r="H9" s="47" t="s">
        <v>119</v>
      </c>
      <c r="I9" s="48">
        <f>SUMIF(F2:F35,"ELECTRONICS",D2:D35)</f>
        <v>8050</v>
      </c>
    </row>
    <row r="10" spans="1:9" x14ac:dyDescent="0.2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46"/>
      <c r="H10" s="47" t="s">
        <v>120</v>
      </c>
      <c r="I10" s="49">
        <f>COUNTIF(D2:D35,"&lt;100")</f>
        <v>11</v>
      </c>
    </row>
    <row r="11" spans="1:9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</row>
    <row r="12" spans="1:9" x14ac:dyDescent="0.2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</row>
    <row r="13" spans="1:9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</row>
    <row r="14" spans="1:9" x14ac:dyDescent="0.2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</row>
    <row r="15" spans="1:9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</row>
    <row r="16" spans="1:9" x14ac:dyDescent="0.2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</row>
    <row r="17" spans="1:6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</row>
    <row r="18" spans="1:6" x14ac:dyDescent="0.2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</row>
    <row r="19" spans="1:6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</row>
    <row r="20" spans="1:6" x14ac:dyDescent="0.2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</row>
    <row r="21" spans="1:6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</row>
    <row r="22" spans="1:6" x14ac:dyDescent="0.2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</row>
    <row r="23" spans="1:6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</row>
    <row r="24" spans="1:6" x14ac:dyDescent="0.2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</row>
    <row r="25" spans="1:6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</row>
    <row r="26" spans="1:6" x14ac:dyDescent="0.2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</row>
    <row r="27" spans="1:6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</row>
    <row r="28" spans="1:6" x14ac:dyDescent="0.2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</row>
    <row r="29" spans="1:6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</row>
    <row r="30" spans="1:6" x14ac:dyDescent="0.2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</row>
    <row r="31" spans="1:6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</row>
    <row r="32" spans="1:6" x14ac:dyDescent="0.2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</row>
    <row r="33" spans="1:6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</row>
    <row r="34" spans="1:6" x14ac:dyDescent="0.2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</row>
    <row r="35" spans="1:6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</row>
    <row r="37" spans="1:6" x14ac:dyDescent="0.2">
      <c r="D37" s="47">
        <f>SUM(D2:D35)</f>
        <v>10100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E13" sqref="E13"/>
    </sheetView>
  </sheetViews>
  <sheetFormatPr defaultRowHeight="12.75" x14ac:dyDescent="0.2"/>
  <cols>
    <col min="1" max="1" width="10.85546875" bestFit="1" customWidth="1"/>
    <col min="2" max="2" width="14" bestFit="1" customWidth="1"/>
    <col min="3" max="4" width="15.85546875" bestFit="1" customWidth="1"/>
    <col min="5" max="5" width="17.28515625" bestFit="1" customWidth="1"/>
  </cols>
  <sheetData>
    <row r="1" spans="1:5" x14ac:dyDescent="0.2">
      <c r="A1" s="5" t="s">
        <v>17</v>
      </c>
      <c r="B1" s="5" t="s">
        <v>18</v>
      </c>
      <c r="C1" s="53" t="s">
        <v>121</v>
      </c>
      <c r="D1" s="53" t="s">
        <v>122</v>
      </c>
      <c r="E1" s="47" t="s">
        <v>123</v>
      </c>
    </row>
    <row r="2" spans="1:5" x14ac:dyDescent="0.2">
      <c r="A2" s="51" t="s">
        <v>23</v>
      </c>
      <c r="B2" s="20" t="s">
        <v>24</v>
      </c>
      <c r="C2" s="50" t="str">
        <f>LEFT(A2,2)</f>
        <v>28</v>
      </c>
      <c r="D2" s="50" t="str">
        <f>RIGHT(A2,2)</f>
        <v>US</v>
      </c>
      <c r="E2" s="52" t="str">
        <f>MID(A2,4,6)</f>
        <v>JAN-US</v>
      </c>
    </row>
    <row r="3" spans="1:5" x14ac:dyDescent="0.2">
      <c r="A3" s="22" t="s">
        <v>27</v>
      </c>
      <c r="B3" s="22" t="s">
        <v>28</v>
      </c>
      <c r="C3" s="50" t="str">
        <f t="shared" ref="C3:C35" si="0">LEFT(A3,2)</f>
        <v>15</v>
      </c>
      <c r="D3" s="50" t="str">
        <f t="shared" ref="D3:D35" si="1">RIGHT(A3,2)</f>
        <v>US</v>
      </c>
      <c r="E3" s="52" t="str">
        <f t="shared" ref="E3:E35" si="2">MID(A3,4,6)</f>
        <v>FEB-US</v>
      </c>
    </row>
    <row r="4" spans="1:5" x14ac:dyDescent="0.2">
      <c r="A4" s="20" t="s">
        <v>31</v>
      </c>
      <c r="B4" s="20" t="s">
        <v>32</v>
      </c>
      <c r="C4" s="50" t="str">
        <f t="shared" si="0"/>
        <v>03</v>
      </c>
      <c r="D4" s="50" t="str">
        <f t="shared" si="1"/>
        <v>US</v>
      </c>
      <c r="E4" s="52" t="str">
        <f t="shared" si="2"/>
        <v>MAR-US</v>
      </c>
    </row>
    <row r="5" spans="1:5" x14ac:dyDescent="0.2">
      <c r="A5" s="22" t="s">
        <v>35</v>
      </c>
      <c r="B5" s="22" t="s">
        <v>36</v>
      </c>
      <c r="C5" s="50" t="str">
        <f t="shared" si="0"/>
        <v>11</v>
      </c>
      <c r="D5" s="50" t="str">
        <f t="shared" si="1"/>
        <v>US</v>
      </c>
      <c r="E5" s="52" t="str">
        <f t="shared" si="2"/>
        <v>APR-US</v>
      </c>
    </row>
    <row r="6" spans="1:5" x14ac:dyDescent="0.2">
      <c r="A6" s="20" t="s">
        <v>38</v>
      </c>
      <c r="B6" s="20" t="s">
        <v>39</v>
      </c>
      <c r="C6" s="50" t="str">
        <f t="shared" si="0"/>
        <v>22</v>
      </c>
      <c r="D6" s="50" t="str">
        <f t="shared" si="1"/>
        <v>US</v>
      </c>
      <c r="E6" s="52" t="str">
        <f t="shared" si="2"/>
        <v>MAY-US</v>
      </c>
    </row>
    <row r="7" spans="1:5" x14ac:dyDescent="0.2">
      <c r="A7" s="22" t="s">
        <v>42</v>
      </c>
      <c r="B7" s="22" t="s">
        <v>43</v>
      </c>
      <c r="C7" s="50" t="str">
        <f t="shared" si="0"/>
        <v>07</v>
      </c>
      <c r="D7" s="50" t="str">
        <f t="shared" si="1"/>
        <v>UK</v>
      </c>
      <c r="E7" s="52" t="str">
        <f t="shared" si="2"/>
        <v>JUN-UK</v>
      </c>
    </row>
    <row r="8" spans="1:5" x14ac:dyDescent="0.2">
      <c r="A8" s="20" t="s">
        <v>45</v>
      </c>
      <c r="B8" s="20" t="s">
        <v>46</v>
      </c>
      <c r="C8" s="50" t="str">
        <f t="shared" si="0"/>
        <v>19</v>
      </c>
      <c r="D8" s="50" t="str">
        <f t="shared" si="1"/>
        <v>UK</v>
      </c>
      <c r="E8" s="52" t="str">
        <f t="shared" si="2"/>
        <v>JUL-UK</v>
      </c>
    </row>
    <row r="9" spans="1:5" x14ac:dyDescent="0.2">
      <c r="A9" s="22" t="s">
        <v>48</v>
      </c>
      <c r="B9" s="22" t="s">
        <v>49</v>
      </c>
      <c r="C9" s="50" t="str">
        <f t="shared" si="0"/>
        <v>23</v>
      </c>
      <c r="D9" s="50" t="str">
        <f t="shared" si="1"/>
        <v>UK</v>
      </c>
      <c r="E9" s="52" t="str">
        <f t="shared" si="2"/>
        <v>AUG-UK</v>
      </c>
    </row>
    <row r="10" spans="1:5" x14ac:dyDescent="0.2">
      <c r="A10" s="20" t="s">
        <v>51</v>
      </c>
      <c r="B10" s="20" t="s">
        <v>52</v>
      </c>
      <c r="C10" s="50" t="str">
        <f t="shared" si="0"/>
        <v>05</v>
      </c>
      <c r="D10" s="50" t="str">
        <f t="shared" si="1"/>
        <v>UK</v>
      </c>
      <c r="E10" s="52" t="str">
        <f t="shared" si="2"/>
        <v>SEP-UK</v>
      </c>
    </row>
    <row r="11" spans="1:5" x14ac:dyDescent="0.2">
      <c r="A11" s="22" t="s">
        <v>54</v>
      </c>
      <c r="B11" s="22" t="s">
        <v>55</v>
      </c>
      <c r="C11" s="50" t="str">
        <f t="shared" si="0"/>
        <v>14</v>
      </c>
      <c r="D11" s="50" t="str">
        <f t="shared" si="1"/>
        <v>UK</v>
      </c>
      <c r="E11" s="52" t="str">
        <f t="shared" si="2"/>
        <v>OCT-UK</v>
      </c>
    </row>
    <row r="12" spans="1:5" x14ac:dyDescent="0.2">
      <c r="A12" s="20" t="s">
        <v>57</v>
      </c>
      <c r="B12" s="20" t="s">
        <v>24</v>
      </c>
      <c r="C12" s="50" t="str">
        <f t="shared" si="0"/>
        <v>17</v>
      </c>
      <c r="D12" s="50" t="str">
        <f t="shared" si="1"/>
        <v>IN</v>
      </c>
      <c r="E12" s="52" t="str">
        <f t="shared" si="2"/>
        <v>JUN-IN</v>
      </c>
    </row>
    <row r="13" spans="1:5" x14ac:dyDescent="0.2">
      <c r="A13" s="22" t="s">
        <v>59</v>
      </c>
      <c r="B13" s="22" t="s">
        <v>28</v>
      </c>
      <c r="C13" s="50" t="str">
        <f t="shared" si="0"/>
        <v>25</v>
      </c>
      <c r="D13" s="50" t="str">
        <f t="shared" si="1"/>
        <v>AU</v>
      </c>
      <c r="E13" s="52" t="str">
        <f t="shared" si="2"/>
        <v>NOV-AU</v>
      </c>
    </row>
    <row r="14" spans="1:5" x14ac:dyDescent="0.2">
      <c r="A14" s="20" t="s">
        <v>60</v>
      </c>
      <c r="B14" s="20" t="s">
        <v>32</v>
      </c>
      <c r="C14" s="50" t="str">
        <f t="shared" si="0"/>
        <v>08</v>
      </c>
      <c r="D14" s="50" t="str">
        <f t="shared" si="1"/>
        <v>DE</v>
      </c>
      <c r="E14" s="52" t="str">
        <f t="shared" si="2"/>
        <v>DEC-DE</v>
      </c>
    </row>
    <row r="15" spans="1:5" x14ac:dyDescent="0.2">
      <c r="A15" s="22" t="s">
        <v>62</v>
      </c>
      <c r="B15" s="22" t="s">
        <v>63</v>
      </c>
      <c r="C15" s="50" t="str">
        <f t="shared" si="0"/>
        <v>18</v>
      </c>
      <c r="D15" s="50" t="str">
        <f t="shared" si="1"/>
        <v>CA</v>
      </c>
      <c r="E15" s="52" t="str">
        <f t="shared" si="2"/>
        <v>FEB-CA</v>
      </c>
    </row>
    <row r="16" spans="1:5" x14ac:dyDescent="0.2">
      <c r="A16" s="20" t="s">
        <v>65</v>
      </c>
      <c r="B16" s="20" t="s">
        <v>43</v>
      </c>
      <c r="C16" s="50" t="str">
        <f t="shared" si="0"/>
        <v>16</v>
      </c>
      <c r="D16" s="50" t="str">
        <f t="shared" si="1"/>
        <v>ES</v>
      </c>
      <c r="E16" s="52" t="str">
        <f t="shared" si="2"/>
        <v>APR-ES</v>
      </c>
    </row>
    <row r="17" spans="1:5" x14ac:dyDescent="0.2">
      <c r="A17" s="22" t="s">
        <v>67</v>
      </c>
      <c r="B17" s="22" t="s">
        <v>68</v>
      </c>
      <c r="C17" s="50" t="str">
        <f t="shared" si="0"/>
        <v>21</v>
      </c>
      <c r="D17" s="50" t="str">
        <f t="shared" si="1"/>
        <v>CA</v>
      </c>
      <c r="E17" s="52" t="str">
        <f t="shared" si="2"/>
        <v>AUG-CA</v>
      </c>
    </row>
    <row r="18" spans="1:5" x14ac:dyDescent="0.2">
      <c r="A18" s="20" t="s">
        <v>71</v>
      </c>
      <c r="B18" s="20" t="s">
        <v>63</v>
      </c>
      <c r="C18" s="50" t="str">
        <f t="shared" si="0"/>
        <v>20</v>
      </c>
      <c r="D18" s="50" t="str">
        <f t="shared" si="1"/>
        <v>CN</v>
      </c>
      <c r="E18" s="52" t="str">
        <f t="shared" si="2"/>
        <v>AUG-CN</v>
      </c>
    </row>
    <row r="19" spans="1:5" x14ac:dyDescent="0.2">
      <c r="A19" s="22" t="s">
        <v>73</v>
      </c>
      <c r="B19" s="22" t="s">
        <v>24</v>
      </c>
      <c r="C19" s="50" t="str">
        <f t="shared" si="0"/>
        <v>27</v>
      </c>
      <c r="D19" s="50" t="str">
        <f t="shared" si="1"/>
        <v>IT</v>
      </c>
      <c r="E19" s="52" t="str">
        <f t="shared" si="2"/>
        <v>JAN-IT</v>
      </c>
    </row>
    <row r="20" spans="1:5" x14ac:dyDescent="0.2">
      <c r="A20" s="20" t="s">
        <v>75</v>
      </c>
      <c r="B20" s="20" t="s">
        <v>76</v>
      </c>
      <c r="C20" s="50" t="str">
        <f t="shared" si="0"/>
        <v>01</v>
      </c>
      <c r="D20" s="50" t="str">
        <f t="shared" si="1"/>
        <v>UK</v>
      </c>
      <c r="E20" s="52" t="str">
        <f t="shared" si="2"/>
        <v>MAR-UK</v>
      </c>
    </row>
    <row r="21" spans="1:5" x14ac:dyDescent="0.2">
      <c r="A21" s="22" t="s">
        <v>78</v>
      </c>
      <c r="B21" s="22" t="s">
        <v>79</v>
      </c>
      <c r="C21" s="50" t="str">
        <f t="shared" si="0"/>
        <v>14</v>
      </c>
      <c r="D21" s="50" t="str">
        <f t="shared" si="1"/>
        <v>US</v>
      </c>
      <c r="E21" s="52" t="str">
        <f t="shared" si="2"/>
        <v>AUG-US</v>
      </c>
    </row>
    <row r="22" spans="1:5" x14ac:dyDescent="0.2">
      <c r="A22" s="20" t="s">
        <v>81</v>
      </c>
      <c r="B22" s="20" t="s">
        <v>82</v>
      </c>
      <c r="C22" s="50" t="str">
        <f t="shared" si="0"/>
        <v>14</v>
      </c>
      <c r="D22" s="50" t="str">
        <f t="shared" si="1"/>
        <v>RU</v>
      </c>
      <c r="E22" s="52" t="str">
        <f t="shared" si="2"/>
        <v>MAY-RU</v>
      </c>
    </row>
    <row r="23" spans="1:5" x14ac:dyDescent="0.2">
      <c r="A23" s="22" t="s">
        <v>84</v>
      </c>
      <c r="B23" s="22" t="s">
        <v>85</v>
      </c>
      <c r="C23" s="50" t="str">
        <f t="shared" si="0"/>
        <v>09</v>
      </c>
      <c r="D23" s="50" t="str">
        <f t="shared" si="1"/>
        <v>CA</v>
      </c>
      <c r="E23" s="52" t="str">
        <f t="shared" si="2"/>
        <v>JAN-CA</v>
      </c>
    </row>
    <row r="24" spans="1:5" x14ac:dyDescent="0.2">
      <c r="A24" s="20" t="s">
        <v>87</v>
      </c>
      <c r="B24" s="20" t="s">
        <v>88</v>
      </c>
      <c r="C24" s="50" t="str">
        <f t="shared" si="0"/>
        <v>19</v>
      </c>
      <c r="D24" s="50" t="str">
        <f t="shared" si="1"/>
        <v>BR</v>
      </c>
      <c r="E24" s="52" t="str">
        <f t="shared" si="2"/>
        <v>JUL-BR</v>
      </c>
    </row>
    <row r="25" spans="1:5" x14ac:dyDescent="0.2">
      <c r="A25" s="22" t="s">
        <v>67</v>
      </c>
      <c r="B25" s="22" t="s">
        <v>68</v>
      </c>
      <c r="C25" s="50" t="str">
        <f t="shared" si="0"/>
        <v>21</v>
      </c>
      <c r="D25" s="50" t="str">
        <f t="shared" si="1"/>
        <v>CA</v>
      </c>
      <c r="E25" s="52" t="str">
        <f t="shared" si="2"/>
        <v>AUG-CA</v>
      </c>
    </row>
    <row r="26" spans="1:5" x14ac:dyDescent="0.2">
      <c r="A26" s="20" t="s">
        <v>90</v>
      </c>
      <c r="B26" s="20" t="s">
        <v>36</v>
      </c>
      <c r="C26" s="50" t="str">
        <f t="shared" si="0"/>
        <v>29</v>
      </c>
      <c r="D26" s="50" t="str">
        <f t="shared" si="1"/>
        <v>CA</v>
      </c>
      <c r="E26" s="52" t="str">
        <f t="shared" si="2"/>
        <v>SEP-CA</v>
      </c>
    </row>
    <row r="27" spans="1:5" x14ac:dyDescent="0.2">
      <c r="A27" s="22" t="s">
        <v>92</v>
      </c>
      <c r="B27" s="22" t="s">
        <v>76</v>
      </c>
      <c r="C27" s="50" t="str">
        <f t="shared" si="0"/>
        <v>03</v>
      </c>
      <c r="D27" s="50" t="str">
        <f t="shared" si="1"/>
        <v>CA</v>
      </c>
      <c r="E27" s="52" t="str">
        <f t="shared" si="2"/>
        <v>JUN-CA</v>
      </c>
    </row>
    <row r="28" spans="1:5" x14ac:dyDescent="0.2">
      <c r="A28" s="20" t="s">
        <v>94</v>
      </c>
      <c r="B28" s="20" t="s">
        <v>49</v>
      </c>
      <c r="C28" s="50" t="str">
        <f t="shared" si="0"/>
        <v>11</v>
      </c>
      <c r="D28" s="50" t="str">
        <f t="shared" si="1"/>
        <v>CA</v>
      </c>
      <c r="E28" s="52" t="str">
        <f t="shared" si="2"/>
        <v>JUL-CA</v>
      </c>
    </row>
    <row r="29" spans="1:5" x14ac:dyDescent="0.2">
      <c r="A29" s="22" t="s">
        <v>65</v>
      </c>
      <c r="B29" s="22" t="s">
        <v>43</v>
      </c>
      <c r="C29" s="50" t="str">
        <f t="shared" si="0"/>
        <v>16</v>
      </c>
      <c r="D29" s="50" t="str">
        <f t="shared" si="1"/>
        <v>ES</v>
      </c>
      <c r="E29" s="52" t="str">
        <f t="shared" si="2"/>
        <v>APR-ES</v>
      </c>
    </row>
    <row r="30" spans="1:5" x14ac:dyDescent="0.2">
      <c r="A30" s="20" t="s">
        <v>96</v>
      </c>
      <c r="B30" s="20" t="s">
        <v>97</v>
      </c>
      <c r="C30" s="50" t="str">
        <f t="shared" si="0"/>
        <v>07</v>
      </c>
      <c r="D30" s="50" t="str">
        <f t="shared" si="1"/>
        <v>CA</v>
      </c>
      <c r="E30" s="52" t="str">
        <f t="shared" si="2"/>
        <v>MAR-CA</v>
      </c>
    </row>
    <row r="31" spans="1:5" x14ac:dyDescent="0.2">
      <c r="A31" s="22" t="s">
        <v>99</v>
      </c>
      <c r="B31" s="22" t="s">
        <v>100</v>
      </c>
      <c r="C31" s="50" t="str">
        <f t="shared" si="0"/>
        <v>13</v>
      </c>
      <c r="D31" s="50" t="str">
        <f t="shared" si="1"/>
        <v>CA</v>
      </c>
      <c r="E31" s="52" t="str">
        <f t="shared" si="2"/>
        <v>APR-CA</v>
      </c>
    </row>
    <row r="32" spans="1:5" x14ac:dyDescent="0.2">
      <c r="A32" s="20" t="s">
        <v>102</v>
      </c>
      <c r="B32" s="20" t="s">
        <v>88</v>
      </c>
      <c r="C32" s="50" t="str">
        <f t="shared" si="0"/>
        <v>24</v>
      </c>
      <c r="D32" s="50" t="str">
        <f t="shared" si="1"/>
        <v>CA</v>
      </c>
      <c r="E32" s="52" t="str">
        <f t="shared" si="2"/>
        <v>MAY-CA</v>
      </c>
    </row>
    <row r="33" spans="1:5" x14ac:dyDescent="0.2">
      <c r="A33" s="22" t="s">
        <v>104</v>
      </c>
      <c r="B33" s="22" t="s">
        <v>105</v>
      </c>
      <c r="C33" s="50" t="str">
        <f t="shared" si="0"/>
        <v>02</v>
      </c>
      <c r="D33" s="50" t="str">
        <f t="shared" si="1"/>
        <v>CA</v>
      </c>
      <c r="E33" s="52" t="str">
        <f t="shared" si="2"/>
        <v>DEC-CA</v>
      </c>
    </row>
    <row r="34" spans="1:5" x14ac:dyDescent="0.2">
      <c r="A34" s="20" t="s">
        <v>57</v>
      </c>
      <c r="B34" s="20" t="s">
        <v>24</v>
      </c>
      <c r="C34" s="50" t="str">
        <f t="shared" si="0"/>
        <v>17</v>
      </c>
      <c r="D34" s="50" t="str">
        <f t="shared" si="1"/>
        <v>IN</v>
      </c>
      <c r="E34" s="52" t="str">
        <f t="shared" si="2"/>
        <v>JUN-IN</v>
      </c>
    </row>
    <row r="35" spans="1:5" x14ac:dyDescent="0.2">
      <c r="A35" s="22" t="s">
        <v>107</v>
      </c>
      <c r="B35" s="22" t="s">
        <v>108</v>
      </c>
      <c r="C35" s="50" t="str">
        <f t="shared" si="0"/>
        <v>09</v>
      </c>
      <c r="D35" s="50" t="str">
        <f t="shared" si="1"/>
        <v>FR</v>
      </c>
      <c r="E35" s="52" t="str">
        <f t="shared" si="2"/>
        <v>JUL-FR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Dataset</vt:lpstr>
      <vt:lpstr>SHEET 1</vt:lpstr>
      <vt:lpstr>SHEET 2</vt:lpstr>
      <vt:lpstr>SHEET 3</vt:lpstr>
      <vt:lpstr>SHEET 4</vt:lpstr>
      <vt:lpstr>SHEET 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i3</cp:lastModifiedBy>
  <dcterms:modified xsi:type="dcterms:W3CDTF">2026-01-02T06:18:35Z</dcterms:modified>
</cp:coreProperties>
</file>