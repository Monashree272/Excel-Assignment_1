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3\Desktop\"/>
    </mc:Choice>
  </mc:AlternateContent>
  <bookViews>
    <workbookView xWindow="0" yWindow="0" windowWidth="15360" windowHeight="7755" firstSheet="2" activeTab="2"/>
  </bookViews>
  <sheets>
    <sheet name="Instructions" sheetId="1" r:id="rId1"/>
    <sheet name="Dataset" sheetId="2" r:id="rId2"/>
    <sheet name="Sheet1" sheetId="3" r:id="rId3"/>
    <sheet name="sheet 2" sheetId="6" r:id="rId4"/>
    <sheet name="sheet 3" sheetId="7" r:id="rId5"/>
    <sheet name="Sheet4" sheetId="8" r:id="rId6"/>
    <sheet name="Sheet 5" sheetId="10" r:id="rId7"/>
    <sheet name="Sheet 6" sheetId="11" r:id="rId8"/>
  </sheets>
  <calcPr calcId="152511"/>
  <extLst>
    <ext uri="GoogleSheetsCustomDataVersion2">
      <go:sheetsCustomData xmlns:go="http://customooxmlschemas.google.com/" r:id="rId9" roundtripDataChecksum="rIR6213FxEpgZ/k1UDjxyMHI45/G9Bc960XOAAH4UN4="/>
    </ext>
  </extLst>
</workbook>
</file>

<file path=xl/calcChain.xml><?xml version="1.0" encoding="utf-8"?>
<calcChain xmlns="http://schemas.openxmlformats.org/spreadsheetml/2006/main">
  <c r="G2" i="8" l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I25" i="3" l="1"/>
  <c r="I26" i="3"/>
  <c r="H2" i="3"/>
  <c r="G2" i="3" l="1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9" i="3"/>
  <c r="G10" i="3"/>
  <c r="G11" i="3"/>
  <c r="G12" i="3"/>
  <c r="G13" i="3"/>
  <c r="G14" i="3"/>
  <c r="G15" i="3"/>
  <c r="G5" i="3"/>
  <c r="G6" i="3"/>
  <c r="G7" i="3"/>
  <c r="G8" i="3"/>
  <c r="G3" i="3"/>
  <c r="G4" i="3"/>
</calcChain>
</file>

<file path=xl/sharedStrings.xml><?xml version="1.0" encoding="utf-8"?>
<sst xmlns="http://schemas.openxmlformats.org/spreadsheetml/2006/main" count="940" uniqueCount="126">
  <si>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</si>
  <si>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</si>
  <si>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</si>
  <si>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</si>
  <si>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</si>
  <si>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</si>
  <si>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</si>
  <si>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</si>
  <si>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</si>
  <si>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</si>
  <si>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</si>
  <si>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</si>
  <si>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</si>
  <si>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</si>
  <si>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</si>
  <si>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</si>
  <si>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</si>
  <si>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</si>
  <si>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</si>
  <si>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</si>
  <si>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</si>
  <si>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</si>
  <si>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</si>
  <si>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</si>
  <si>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</si>
  <si>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</si>
  <si>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</si>
  <si>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</si>
  <si>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</si>
  <si>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</si>
  <si>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</si>
  <si>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</si>
  <si>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</si>
  <si>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</si>
  <si>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</si>
  <si>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</si>
  <si>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</si>
  <si>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</si>
  <si>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</si>
  <si>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</si>
  <si>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</si>
  <si>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</si>
  <si>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</si>
  <si>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</si>
  <si>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</si>
  <si>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</si>
  <si>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</si>
  <si>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</si>
  <si>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</si>
  <si>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</si>
  <si>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</si>
  <si>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</si>
  <si>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</si>
  <si>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</si>
  <si>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</si>
  <si>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</si>
  <si>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</si>
  <si>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</si>
  <si>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</si>
  <si>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</si>
  <si>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</si>
  <si>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</si>
  <si>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</si>
  <si>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</si>
  <si>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</si>
  <si>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</si>
  <si>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</si>
  <si>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</si>
  <si>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</si>
  <si>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</si>
  <si>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</si>
  <si>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</si>
  <si>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</si>
  <si>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</si>
  <si>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</si>
  <si>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</si>
  <si>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</si>
  <si>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</si>
  <si>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</si>
  <si>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</si>
  <si>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</si>
  <si>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</si>
  <si>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</si>
  <si>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</si>
  <si>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</si>
  <si>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</si>
  <si>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</si>
  <si>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</si>
  <si>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</si>
  <si>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</si>
  <si>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</si>
  <si>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</si>
  <si>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</si>
  <si>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</si>
  <si>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</si>
  <si>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</si>
  <si>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</si>
  <si>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</si>
  <si>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</si>
  <si>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</si>
  <si>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</si>
  <si>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</si>
  <si>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</si>
  <si>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</si>
  <si>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</si>
  <si>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</si>
  <si>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</si>
  <si>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</si>
  <si>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</si>
  <si>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</si>
  <si>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</si>
  <si>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</si>
  <si>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</si>
  <si>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</si>
  <si>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</si>
  <si>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</si>
  <si>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 PRICE</t>
  </si>
  <si>
    <t>COUNT BLANK</t>
  </si>
  <si>
    <t>CATEGORY</t>
  </si>
  <si>
    <t>PRODUCT NAME</t>
  </si>
  <si>
    <t>DUPLICATES ROWS</t>
  </si>
  <si>
    <t>PRICE CURRENCY</t>
  </si>
  <si>
    <t xml:space="preserve">   </t>
  </si>
  <si>
    <t>MISSING CATEGORY VALUE</t>
  </si>
  <si>
    <t>PRODUCT BRAND</t>
  </si>
  <si>
    <t>MANUFACTRING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</si>
</sst>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sz val="9"/>
      <color rgb="FF0099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FFCC00"/>
      <name val="Arial"/>
      <family val="2"/>
    </font>
    <font>
      <b/>
      <sz val="10"/>
      <color theme="5" tint="0.79998168889431442"/>
      <name val="Arial"/>
      <family val="2"/>
    </font>
    <font>
      <b/>
      <sz val="9"/>
      <color rgb="FF000000"/>
      <name val="Calibri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6600"/>
        <bgColor rgb="FFE0F7FA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00"/>
        <bgColor rgb="FF4DD0E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11" fillId="0" borderId="0" xfId="0" applyFont="1" applyFill="1" applyAlignment="1"/>
    <xf numFmtId="0" fontId="9" fillId="4" borderId="1" xfId="0" applyFont="1" applyFill="1" applyBorder="1" applyAlignment="1">
      <alignment horizontal="center"/>
    </xf>
    <xf numFmtId="0" fontId="0" fillId="0" borderId="0" xfId="0" applyFont="1" applyBorder="1" applyAlignment="1"/>
    <xf numFmtId="0" fontId="12" fillId="5" borderId="1" xfId="0" applyFont="1" applyFill="1" applyBorder="1" applyAlignment="1"/>
    <xf numFmtId="0" fontId="0" fillId="0" borderId="0" xfId="0" applyFont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13" fillId="5" borderId="1" xfId="0" applyFont="1" applyFill="1" applyBorder="1" applyAlignment="1"/>
    <xf numFmtId="0" fontId="14" fillId="6" borderId="1" xfId="0" applyFont="1" applyFill="1" applyBorder="1" applyAlignment="1"/>
    <xf numFmtId="0" fontId="14" fillId="7" borderId="1" xfId="0" applyFont="1" applyFill="1" applyBorder="1" applyAlignment="1"/>
    <xf numFmtId="0" fontId="12" fillId="8" borderId="1" xfId="0" applyFont="1" applyFill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14" fillId="6" borderId="0" xfId="0" applyFont="1" applyFill="1" applyAlignment="1">
      <alignment horizontal="left"/>
    </xf>
    <xf numFmtId="0" fontId="14" fillId="6" borderId="0" xfId="0" applyFont="1" applyFill="1"/>
    <xf numFmtId="0" fontId="15" fillId="9" borderId="1" xfId="0" applyFont="1" applyFill="1" applyBorder="1" applyAlignment="1">
      <alignment horizontal="center"/>
    </xf>
    <xf numFmtId="0" fontId="15" fillId="9" borderId="5" xfId="0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164" fontId="5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10" fillId="0" borderId="0" xfId="0" applyFont="1" applyBorder="1" applyAlignment="1"/>
    <xf numFmtId="0" fontId="8" fillId="0" borderId="6" xfId="0" applyFont="1" applyFill="1" applyBorder="1" applyAlignment="1">
      <alignment horizontal="center"/>
    </xf>
    <xf numFmtId="0" fontId="10" fillId="0" borderId="0" xfId="0" applyFont="1" applyAlignment="1"/>
    <xf numFmtId="0" fontId="12" fillId="0" borderId="0" xfId="0" applyFont="1" applyFill="1" applyBorder="1" applyAlignment="1"/>
    <xf numFmtId="0" fontId="16" fillId="5" borderId="1" xfId="0" applyFont="1" applyFill="1" applyBorder="1" applyAlignment="1"/>
    <xf numFmtId="0" fontId="8" fillId="2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Border="1" applyAlignment="1"/>
    <xf numFmtId="0" fontId="9" fillId="2" borderId="0" xfId="0" applyFont="1" applyFill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17" fillId="3" borderId="0" xfId="0" applyFont="1" applyFill="1"/>
    <xf numFmtId="0" fontId="17" fillId="3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9" fillId="0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</dxfs>
  <tableStyles count="0" defaultTableStyle="TableStyleMedium2" defaultPivotStyle="PivotStyleLight16"/>
  <colors>
    <mruColors>
      <color rgb="FFFFCC00"/>
      <color rgb="FF0066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topLeftCell="A7" zoomScale="80" zoomScaleNormal="80" workbookViewId="0">
      <selection activeCell="N17" sqref="N1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workbookViewId="0">
      <selection activeCell="C4" sqref="C4"/>
    </sheetView>
  </sheetViews>
  <sheetFormatPr defaultColWidth="12.5703125" defaultRowHeight="15" customHeight="1" x14ac:dyDescent="0.2"/>
  <cols>
    <col min="1" max="1" width="12.5703125" customWidth="1"/>
    <col min="2" max="2" width="14" bestFit="1" customWidth="1"/>
    <col min="3" max="6" width="12.5703125" customWidth="1"/>
  </cols>
  <sheetData>
    <row r="1" spans="1:16" ht="15.75" customHeight="1" x14ac:dyDescent="0.2">
      <c r="A1" s="41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">
      <c r="A2" s="10" t="s">
        <v>25</v>
      </c>
      <c r="B2" s="18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25">
      <c r="A3" s="11" t="s">
        <v>29</v>
      </c>
      <c r="B3" s="19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10" t="s">
        <v>33</v>
      </c>
      <c r="B4" s="18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25">
      <c r="A5" s="11" t="s">
        <v>37</v>
      </c>
      <c r="B5" s="19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">
      <c r="A6" s="10" t="s">
        <v>40</v>
      </c>
      <c r="B6" s="18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">
      <c r="A7" s="11" t="s">
        <v>43</v>
      </c>
      <c r="B7" s="19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">
      <c r="A8" s="10" t="s">
        <v>47</v>
      </c>
      <c r="B8" s="18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">
      <c r="A9" s="11" t="s">
        <v>50</v>
      </c>
      <c r="B9" s="19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">
      <c r="A10" s="10" t="s">
        <v>53</v>
      </c>
      <c r="B10" s="18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">
      <c r="A11" s="11" t="s">
        <v>56</v>
      </c>
      <c r="B11" s="19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">
      <c r="A12" s="10" t="s">
        <v>60</v>
      </c>
      <c r="B12" s="18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">
      <c r="A13" s="11" t="s">
        <v>63</v>
      </c>
      <c r="B13" s="19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">
      <c r="A14" s="10" t="s">
        <v>64</v>
      </c>
      <c r="B14" s="18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">
      <c r="A15" s="11" t="s">
        <v>66</v>
      </c>
      <c r="B15" s="19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">
      <c r="A16" s="10" t="s">
        <v>69</v>
      </c>
      <c r="B16" s="18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">
      <c r="A17" s="11" t="s">
        <v>72</v>
      </c>
      <c r="B17" s="19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">
      <c r="A18" s="10" t="s">
        <v>76</v>
      </c>
      <c r="B18" s="18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">
      <c r="A19" s="11" t="s">
        <v>78</v>
      </c>
      <c r="B19" s="19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">
      <c r="A20" s="10" t="s">
        <v>80</v>
      </c>
      <c r="B20" s="18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">
      <c r="A21" s="11" t="s">
        <v>83</v>
      </c>
      <c r="B21" s="19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">
      <c r="A22" s="10" t="s">
        <v>86</v>
      </c>
      <c r="B22" s="18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">
      <c r="A23" s="11" t="s">
        <v>89</v>
      </c>
      <c r="B23" s="19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">
      <c r="A24" s="10" t="s">
        <v>92</v>
      </c>
      <c r="B24" s="18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">
      <c r="A25" s="11" t="s">
        <v>72</v>
      </c>
      <c r="B25" s="19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">
      <c r="A26" s="10" t="s">
        <v>95</v>
      </c>
      <c r="B26" s="18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">
      <c r="A27" s="11" t="s">
        <v>98</v>
      </c>
      <c r="B27" s="19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">
      <c r="A28" s="10" t="s">
        <v>100</v>
      </c>
      <c r="B28" s="18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">
      <c r="A29" s="11" t="s">
        <v>69</v>
      </c>
      <c r="B29" s="19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">
      <c r="A30" s="10" t="s">
        <v>102</v>
      </c>
      <c r="B30" s="18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">
      <c r="A31" s="11" t="s">
        <v>105</v>
      </c>
      <c r="B31" s="19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">
      <c r="A32" s="10" t="s">
        <v>108</v>
      </c>
      <c r="B32" s="18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">
      <c r="A33" s="11" t="s">
        <v>110</v>
      </c>
      <c r="B33" s="19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">
      <c r="A34" s="10" t="s">
        <v>60</v>
      </c>
      <c r="B34" s="18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">
      <c r="A35" s="11" t="s">
        <v>113</v>
      </c>
      <c r="B35" s="19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H42" sqref="H42"/>
    </sheetView>
  </sheetViews>
  <sheetFormatPr defaultRowHeight="12.75" x14ac:dyDescent="0.2"/>
  <cols>
    <col min="3" max="3" width="14.140625" bestFit="1" customWidth="1"/>
    <col min="6" max="6" width="11.28515625" bestFit="1" customWidth="1"/>
    <col min="7" max="7" width="15.28515625" bestFit="1" customWidth="1"/>
    <col min="8" max="8" width="24" bestFit="1" customWidth="1"/>
  </cols>
  <sheetData>
    <row r="1" spans="1:9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13" t="s">
        <v>116</v>
      </c>
      <c r="H1" s="37"/>
      <c r="I1" s="14"/>
    </row>
    <row r="2" spans="1:9" x14ac:dyDescent="0.2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G2" s="12" t="b">
        <f>ISBLANK(D2)</f>
        <v>0</v>
      </c>
      <c r="H2" s="36" t="str">
        <f>IF(ISBLANK(F6),"Unknown",F6)</f>
        <v xml:space="preserve">   </v>
      </c>
    </row>
    <row r="3" spans="1:9" x14ac:dyDescent="0.2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G3" s="12" t="b">
        <f t="shared" ref="G3:G35" si="0">ISBLANK(D3)</f>
        <v>0</v>
      </c>
    </row>
    <row r="4" spans="1:9" x14ac:dyDescent="0.2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G4" s="12" t="b">
        <f t="shared" si="0"/>
        <v>0</v>
      </c>
      <c r="H4" s="14"/>
    </row>
    <row r="5" spans="1:9" x14ac:dyDescent="0.2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G5" s="12" t="b">
        <f t="shared" si="0"/>
        <v>0</v>
      </c>
    </row>
    <row r="6" spans="1:9" x14ac:dyDescent="0.2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 t="s">
        <v>122</v>
      </c>
      <c r="G6" s="12" t="b">
        <f t="shared" si="0"/>
        <v>0</v>
      </c>
    </row>
    <row r="7" spans="1:9" x14ac:dyDescent="0.2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  <c r="G7" s="12" t="b">
        <f t="shared" si="0"/>
        <v>1</v>
      </c>
    </row>
    <row r="8" spans="1:9" x14ac:dyDescent="0.2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G8" s="12" t="b">
        <f t="shared" si="0"/>
        <v>0</v>
      </c>
    </row>
    <row r="9" spans="1:9" x14ac:dyDescent="0.2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  <c r="G9" s="12" t="b">
        <f>ISBLANK(D9)</f>
        <v>0</v>
      </c>
    </row>
    <row r="10" spans="1:9" x14ac:dyDescent="0.2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G10" s="12" t="b">
        <f t="shared" si="0"/>
        <v>0</v>
      </c>
    </row>
    <row r="11" spans="1:9" x14ac:dyDescent="0.2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  <c r="G11" s="12" t="b">
        <f t="shared" si="0"/>
        <v>0</v>
      </c>
    </row>
    <row r="12" spans="1:9" x14ac:dyDescent="0.2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G12" s="12" t="b">
        <f t="shared" si="0"/>
        <v>0</v>
      </c>
      <c r="H12" s="14"/>
    </row>
    <row r="13" spans="1:9" x14ac:dyDescent="0.2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  <c r="G13" s="12" t="b">
        <f t="shared" si="0"/>
        <v>0</v>
      </c>
    </row>
    <row r="14" spans="1:9" x14ac:dyDescent="0.2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  <c r="G14" s="12" t="b">
        <f t="shared" si="0"/>
        <v>0</v>
      </c>
    </row>
    <row r="15" spans="1:9" x14ac:dyDescent="0.2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  <c r="G15" s="12" t="b">
        <f t="shared" si="0"/>
        <v>0</v>
      </c>
    </row>
    <row r="16" spans="1:9" x14ac:dyDescent="0.2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  <c r="G16" s="12" t="b">
        <f t="shared" si="0"/>
        <v>0</v>
      </c>
    </row>
    <row r="17" spans="1:9" x14ac:dyDescent="0.2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  <c r="G17" s="12" t="b">
        <f t="shared" si="0"/>
        <v>0</v>
      </c>
    </row>
    <row r="18" spans="1:9" x14ac:dyDescent="0.2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  <c r="G18" s="12" t="b">
        <f t="shared" si="0"/>
        <v>0</v>
      </c>
    </row>
    <row r="19" spans="1:9" x14ac:dyDescent="0.2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  <c r="G19" s="12" t="b">
        <f t="shared" si="0"/>
        <v>0</v>
      </c>
    </row>
    <row r="20" spans="1:9" x14ac:dyDescent="0.2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G20" s="12" t="b">
        <f t="shared" si="0"/>
        <v>0</v>
      </c>
    </row>
    <row r="21" spans="1:9" x14ac:dyDescent="0.2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  <c r="G21" s="12" t="b">
        <f t="shared" si="0"/>
        <v>1</v>
      </c>
    </row>
    <row r="22" spans="1:9" x14ac:dyDescent="0.2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G22" s="12" t="b">
        <f t="shared" si="0"/>
        <v>0</v>
      </c>
    </row>
    <row r="23" spans="1:9" x14ac:dyDescent="0.2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  <c r="G23" s="12" t="b">
        <f t="shared" si="0"/>
        <v>0</v>
      </c>
    </row>
    <row r="24" spans="1:9" x14ac:dyDescent="0.2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  <c r="G24" s="12" t="b">
        <f t="shared" si="0"/>
        <v>0</v>
      </c>
    </row>
    <row r="25" spans="1:9" x14ac:dyDescent="0.2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  <c r="G25" s="12" t="b">
        <f t="shared" si="0"/>
        <v>0</v>
      </c>
      <c r="H25" s="40" t="s">
        <v>117</v>
      </c>
      <c r="I25" s="40">
        <f>COUNTBLANK(D2:D35)</f>
        <v>3</v>
      </c>
    </row>
    <row r="26" spans="1:9" x14ac:dyDescent="0.2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  <c r="G26" s="12" t="b">
        <f t="shared" si="0"/>
        <v>0</v>
      </c>
      <c r="H26" s="40" t="s">
        <v>123</v>
      </c>
      <c r="I26" s="15">
        <f>COUNTBLANK(F2:F35)</f>
        <v>3</v>
      </c>
    </row>
    <row r="27" spans="1:9" x14ac:dyDescent="0.2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  <c r="G27" s="12" t="b">
        <f t="shared" si="0"/>
        <v>1</v>
      </c>
    </row>
    <row r="28" spans="1:9" x14ac:dyDescent="0.2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  <c r="G28" s="12" t="b">
        <f t="shared" si="0"/>
        <v>0</v>
      </c>
    </row>
    <row r="29" spans="1:9" x14ac:dyDescent="0.2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  <c r="G29" s="12" t="b">
        <f t="shared" si="0"/>
        <v>0</v>
      </c>
    </row>
    <row r="30" spans="1:9" x14ac:dyDescent="0.2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  <c r="G30" s="12" t="b">
        <f t="shared" si="0"/>
        <v>0</v>
      </c>
    </row>
    <row r="31" spans="1:9" x14ac:dyDescent="0.2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  <c r="G31" s="12" t="b">
        <f t="shared" si="0"/>
        <v>0</v>
      </c>
    </row>
    <row r="32" spans="1:9" x14ac:dyDescent="0.2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  <c r="G32" s="12" t="b">
        <f t="shared" si="0"/>
        <v>0</v>
      </c>
    </row>
    <row r="33" spans="1:7" x14ac:dyDescent="0.2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  <c r="G33" s="12" t="b">
        <f t="shared" si="0"/>
        <v>0</v>
      </c>
    </row>
    <row r="34" spans="1:7" x14ac:dyDescent="0.2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  <c r="G34" s="12" t="b">
        <f t="shared" si="0"/>
        <v>0</v>
      </c>
    </row>
    <row r="35" spans="1:7" x14ac:dyDescent="0.2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  <c r="G35" s="12" t="b">
        <f t="shared" si="0"/>
        <v>0</v>
      </c>
    </row>
    <row r="37" spans="1:7" x14ac:dyDescent="0.2">
      <c r="C37" s="14"/>
      <c r="F37" s="14"/>
    </row>
    <row r="38" spans="1:7" x14ac:dyDescent="0.2">
      <c r="B38" s="14"/>
      <c r="C38" s="39"/>
      <c r="D38" s="43"/>
      <c r="E38" s="43"/>
      <c r="F38" s="39"/>
    </row>
    <row r="39" spans="1:7" x14ac:dyDescent="0.2">
      <c r="B39" s="14"/>
      <c r="C39" s="42"/>
      <c r="D39" s="43"/>
      <c r="E39" s="39"/>
      <c r="F39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G21" sqref="G21"/>
    </sheetView>
  </sheetViews>
  <sheetFormatPr defaultRowHeight="12.75" x14ac:dyDescent="0.2"/>
  <cols>
    <col min="1" max="1" width="15.42578125" style="16" bestFit="1" customWidth="1"/>
    <col min="2" max="2" width="14" style="16" bestFit="1" customWidth="1"/>
    <col min="3" max="3" width="12.28515625" style="16" bestFit="1" customWidth="1"/>
    <col min="4" max="4" width="9.140625" style="16"/>
    <col min="5" max="5" width="8.5703125" style="16" bestFit="1" customWidth="1"/>
    <col min="6" max="6" width="11.28515625" style="16" bestFit="1" customWidth="1"/>
    <col min="7" max="7" width="15.42578125" style="16" bestFit="1" customWidth="1"/>
    <col min="8" max="8" width="11.28515625" style="16" bestFit="1" customWidth="1"/>
    <col min="9" max="16384" width="9.140625" style="16"/>
  </cols>
  <sheetData>
    <row r="1" spans="1:2" ht="15" x14ac:dyDescent="0.25">
      <c r="A1" s="20" t="s">
        <v>119</v>
      </c>
      <c r="B1" s="17" t="s">
        <v>118</v>
      </c>
    </row>
    <row r="2" spans="1:2" x14ac:dyDescent="0.2">
      <c r="A2" s="21" t="s">
        <v>61</v>
      </c>
      <c r="B2" s="21" t="s">
        <v>28</v>
      </c>
    </row>
    <row r="3" spans="1:2" x14ac:dyDescent="0.2">
      <c r="A3" s="22" t="s">
        <v>30</v>
      </c>
      <c r="B3" s="22" t="s">
        <v>32</v>
      </c>
    </row>
    <row r="4" spans="1:2" x14ac:dyDescent="0.2">
      <c r="A4" s="21" t="s">
        <v>34</v>
      </c>
      <c r="B4" s="21" t="s">
        <v>36</v>
      </c>
    </row>
    <row r="5" spans="1:2" x14ac:dyDescent="0.2">
      <c r="A5" s="22" t="s">
        <v>38</v>
      </c>
      <c r="B5" s="22" t="s">
        <v>28</v>
      </c>
    </row>
    <row r="6" spans="1:2" x14ac:dyDescent="0.2">
      <c r="A6" s="21" t="s">
        <v>41</v>
      </c>
      <c r="B6" s="21"/>
    </row>
    <row r="7" spans="1:2" x14ac:dyDescent="0.2">
      <c r="A7" s="22" t="s">
        <v>44</v>
      </c>
      <c r="B7" s="22" t="s">
        <v>28</v>
      </c>
    </row>
    <row r="8" spans="1:2" x14ac:dyDescent="0.2">
      <c r="A8" s="21" t="s">
        <v>48</v>
      </c>
      <c r="B8" s="21" t="s">
        <v>32</v>
      </c>
    </row>
    <row r="9" spans="1:2" x14ac:dyDescent="0.2">
      <c r="A9" s="22" t="s">
        <v>51</v>
      </c>
      <c r="B9" s="22" t="s">
        <v>36</v>
      </c>
    </row>
    <row r="10" spans="1:2" x14ac:dyDescent="0.2">
      <c r="A10" s="21" t="s">
        <v>54</v>
      </c>
      <c r="B10" s="21" t="s">
        <v>28</v>
      </c>
    </row>
    <row r="11" spans="1:2" x14ac:dyDescent="0.2">
      <c r="A11" s="22" t="s">
        <v>57</v>
      </c>
      <c r="B11" s="22" t="s">
        <v>59</v>
      </c>
    </row>
    <row r="12" spans="1:2" x14ac:dyDescent="0.2">
      <c r="A12" s="21" t="s">
        <v>61</v>
      </c>
      <c r="B12" s="21" t="s">
        <v>28</v>
      </c>
    </row>
    <row r="13" spans="1:2" x14ac:dyDescent="0.2">
      <c r="A13" s="22" t="s">
        <v>30</v>
      </c>
      <c r="B13" s="22"/>
    </row>
    <row r="14" spans="1:2" x14ac:dyDescent="0.2">
      <c r="A14" s="21" t="s">
        <v>34</v>
      </c>
      <c r="B14" s="21"/>
    </row>
    <row r="15" spans="1:2" x14ac:dyDescent="0.2">
      <c r="A15" s="22" t="s">
        <v>67</v>
      </c>
      <c r="B15" s="22" t="s">
        <v>28</v>
      </c>
    </row>
    <row r="16" spans="1:2" x14ac:dyDescent="0.2">
      <c r="A16" s="21" t="s">
        <v>70</v>
      </c>
      <c r="B16" s="21" t="s">
        <v>28</v>
      </c>
    </row>
    <row r="17" spans="1:2" x14ac:dyDescent="0.2">
      <c r="A17" s="22" t="s">
        <v>73</v>
      </c>
      <c r="B17" s="22" t="s">
        <v>75</v>
      </c>
    </row>
    <row r="18" spans="1:2" x14ac:dyDescent="0.2">
      <c r="A18" s="21" t="s">
        <v>67</v>
      </c>
      <c r="B18" s="21" t="s">
        <v>28</v>
      </c>
    </row>
    <row r="19" spans="1:2" x14ac:dyDescent="0.2">
      <c r="A19" s="22" t="s">
        <v>61</v>
      </c>
      <c r="B19" s="22" t="s">
        <v>28</v>
      </c>
    </row>
    <row r="20" spans="1:2" x14ac:dyDescent="0.2">
      <c r="A20" s="21" t="s">
        <v>81</v>
      </c>
      <c r="B20" s="21" t="s">
        <v>32</v>
      </c>
    </row>
    <row r="21" spans="1:2" x14ac:dyDescent="0.2">
      <c r="A21" s="22" t="s">
        <v>84</v>
      </c>
      <c r="B21" s="22" t="s">
        <v>59</v>
      </c>
    </row>
    <row r="22" spans="1:2" x14ac:dyDescent="0.2">
      <c r="A22" s="21" t="s">
        <v>87</v>
      </c>
      <c r="B22" s="21" t="s">
        <v>28</v>
      </c>
    </row>
    <row r="23" spans="1:2" x14ac:dyDescent="0.2">
      <c r="A23" s="22" t="s">
        <v>90</v>
      </c>
      <c r="B23" s="22" t="s">
        <v>36</v>
      </c>
    </row>
    <row r="24" spans="1:2" x14ac:dyDescent="0.2">
      <c r="A24" s="21" t="s">
        <v>93</v>
      </c>
      <c r="B24" s="21"/>
    </row>
    <row r="25" spans="1:2" x14ac:dyDescent="0.2">
      <c r="A25" s="22" t="s">
        <v>73</v>
      </c>
      <c r="B25" s="22" t="s">
        <v>75</v>
      </c>
    </row>
    <row r="26" spans="1:2" x14ac:dyDescent="0.2">
      <c r="A26" s="21" t="s">
        <v>96</v>
      </c>
      <c r="B26" s="21" t="s">
        <v>28</v>
      </c>
    </row>
    <row r="27" spans="1:2" x14ac:dyDescent="0.2">
      <c r="A27" s="22" t="s">
        <v>81</v>
      </c>
      <c r="B27" s="22" t="s">
        <v>32</v>
      </c>
    </row>
    <row r="28" spans="1:2" x14ac:dyDescent="0.2">
      <c r="A28" s="21" t="s">
        <v>51</v>
      </c>
      <c r="B28" s="21" t="s">
        <v>36</v>
      </c>
    </row>
    <row r="29" spans="1:2" x14ac:dyDescent="0.2">
      <c r="A29" s="22" t="s">
        <v>70</v>
      </c>
      <c r="B29" s="22" t="s">
        <v>28</v>
      </c>
    </row>
    <row r="30" spans="1:2" x14ac:dyDescent="0.2">
      <c r="A30" s="21" t="s">
        <v>103</v>
      </c>
      <c r="B30" s="21" t="s">
        <v>32</v>
      </c>
    </row>
    <row r="31" spans="1:2" x14ac:dyDescent="0.2">
      <c r="A31" s="22" t="s">
        <v>106</v>
      </c>
      <c r="B31" s="22" t="s">
        <v>36</v>
      </c>
    </row>
    <row r="32" spans="1:2" x14ac:dyDescent="0.2">
      <c r="A32" s="21" t="s">
        <v>93</v>
      </c>
      <c r="B32" s="21" t="s">
        <v>28</v>
      </c>
    </row>
    <row r="33" spans="1:2" x14ac:dyDescent="0.2">
      <c r="A33" s="22" t="s">
        <v>111</v>
      </c>
      <c r="B33" s="22" t="s">
        <v>32</v>
      </c>
    </row>
    <row r="34" spans="1:2" x14ac:dyDescent="0.2">
      <c r="A34" s="21" t="s">
        <v>61</v>
      </c>
      <c r="B34" s="21" t="s">
        <v>28</v>
      </c>
    </row>
    <row r="35" spans="1:2" x14ac:dyDescent="0.2">
      <c r="A35" s="21" t="s">
        <v>61</v>
      </c>
      <c r="B35" s="22" t="s">
        <v>75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B1" workbookViewId="0">
      <selection activeCell="G12" sqref="G12:G13"/>
    </sheetView>
  </sheetViews>
  <sheetFormatPr defaultRowHeight="12.75" x14ac:dyDescent="0.2"/>
  <cols>
    <col min="1" max="2" width="14" bestFit="1" customWidth="1"/>
    <col min="3" max="3" width="12.28515625" bestFit="1" customWidth="1"/>
    <col min="5" max="5" width="10.28515625" bestFit="1" customWidth="1"/>
    <col min="6" max="6" width="11.28515625" bestFit="1" customWidth="1"/>
    <col min="9" max="9" width="14" bestFit="1" customWidth="1"/>
    <col min="10" max="10" width="12.28515625" bestFit="1" customWidth="1"/>
  </cols>
  <sheetData>
    <row r="1" spans="1:13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3" x14ac:dyDescent="0.2">
      <c r="A2" s="10" t="s">
        <v>25</v>
      </c>
      <c r="B2" s="18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3" x14ac:dyDescent="0.2">
      <c r="A3" s="11" t="s">
        <v>29</v>
      </c>
      <c r="B3" s="19" t="s">
        <v>30</v>
      </c>
      <c r="C3" s="11" t="s">
        <v>31</v>
      </c>
      <c r="D3" s="11">
        <v>80</v>
      </c>
      <c r="E3" s="11">
        <v>15</v>
      </c>
      <c r="F3" s="11" t="s">
        <v>32</v>
      </c>
    </row>
    <row r="4" spans="1:13" x14ac:dyDescent="0.2">
      <c r="A4" s="10" t="s">
        <v>33</v>
      </c>
      <c r="B4" s="18" t="s">
        <v>34</v>
      </c>
      <c r="C4" s="10" t="s">
        <v>35</v>
      </c>
      <c r="D4" s="10">
        <v>130</v>
      </c>
      <c r="E4" s="10">
        <v>40</v>
      </c>
      <c r="F4" s="10" t="s">
        <v>36</v>
      </c>
    </row>
    <row r="5" spans="1:13" x14ac:dyDescent="0.2">
      <c r="A5" s="11" t="s">
        <v>37</v>
      </c>
      <c r="B5" s="19" t="s">
        <v>38</v>
      </c>
      <c r="C5" s="11" t="s">
        <v>39</v>
      </c>
      <c r="D5" s="11">
        <v>900</v>
      </c>
      <c r="E5" s="11">
        <v>25</v>
      </c>
      <c r="F5" s="11" t="s">
        <v>28</v>
      </c>
    </row>
    <row r="6" spans="1:13" x14ac:dyDescent="0.2">
      <c r="A6" s="10" t="s">
        <v>40</v>
      </c>
      <c r="B6" s="18" t="s">
        <v>41</v>
      </c>
      <c r="C6" s="10" t="s">
        <v>42</v>
      </c>
      <c r="D6" s="10">
        <v>70</v>
      </c>
      <c r="E6" s="10">
        <v>20</v>
      </c>
      <c r="F6" s="10"/>
    </row>
    <row r="7" spans="1:13" x14ac:dyDescent="0.2">
      <c r="A7" s="11" t="s">
        <v>43</v>
      </c>
      <c r="B7" s="19" t="s">
        <v>44</v>
      </c>
      <c r="C7" s="11" t="s">
        <v>45</v>
      </c>
      <c r="D7" s="11"/>
      <c r="E7" s="11">
        <v>45</v>
      </c>
      <c r="F7" s="11" t="s">
        <v>46</v>
      </c>
      <c r="I7" s="23" t="s">
        <v>120</v>
      </c>
      <c r="J7" s="23"/>
    </row>
    <row r="8" spans="1:13" x14ac:dyDescent="0.2">
      <c r="A8" s="10" t="s">
        <v>47</v>
      </c>
      <c r="B8" s="18" t="s">
        <v>48</v>
      </c>
      <c r="C8" s="10" t="s">
        <v>49</v>
      </c>
      <c r="D8" s="10">
        <v>30</v>
      </c>
      <c r="E8" s="10">
        <v>5</v>
      </c>
      <c r="F8" s="10" t="s">
        <v>32</v>
      </c>
      <c r="I8" s="24"/>
      <c r="J8" s="24"/>
      <c r="K8" s="26"/>
      <c r="L8" s="26"/>
      <c r="M8" s="26"/>
    </row>
    <row r="9" spans="1:13" x14ac:dyDescent="0.2">
      <c r="A9" s="11" t="s">
        <v>50</v>
      </c>
      <c r="B9" s="19" t="s">
        <v>51</v>
      </c>
      <c r="C9" s="11" t="s">
        <v>52</v>
      </c>
      <c r="D9" s="11">
        <v>90</v>
      </c>
      <c r="E9" s="11">
        <v>35</v>
      </c>
      <c r="F9" s="11" t="s">
        <v>36</v>
      </c>
      <c r="H9" s="25"/>
      <c r="I9" s="29" t="s">
        <v>20</v>
      </c>
      <c r="J9" s="29" t="s">
        <v>21</v>
      </c>
      <c r="K9" s="29" t="s">
        <v>22</v>
      </c>
      <c r="L9" s="29" t="s">
        <v>23</v>
      </c>
      <c r="M9" s="30" t="s">
        <v>24</v>
      </c>
    </row>
    <row r="10" spans="1:13" x14ac:dyDescent="0.2">
      <c r="A10" s="10" t="s">
        <v>53</v>
      </c>
      <c r="B10" s="18" t="s">
        <v>54</v>
      </c>
      <c r="C10" s="10" t="s">
        <v>55</v>
      </c>
      <c r="D10" s="10">
        <v>500</v>
      </c>
      <c r="E10" s="10">
        <v>50</v>
      </c>
      <c r="F10" s="10" t="s">
        <v>28</v>
      </c>
      <c r="I10" s="27" t="s">
        <v>26</v>
      </c>
      <c r="J10" s="28" t="s">
        <v>27</v>
      </c>
      <c r="K10" s="28">
        <v>1000</v>
      </c>
      <c r="L10" s="28">
        <v>30</v>
      </c>
      <c r="M10" s="28" t="s">
        <v>28</v>
      </c>
    </row>
    <row r="11" spans="1:13" x14ac:dyDescent="0.2">
      <c r="A11" s="11" t="s">
        <v>56</v>
      </c>
      <c r="B11" s="19" t="s">
        <v>57</v>
      </c>
      <c r="C11" s="11" t="s">
        <v>58</v>
      </c>
      <c r="D11" s="11">
        <v>130</v>
      </c>
      <c r="E11" s="11">
        <v>10</v>
      </c>
      <c r="F11" s="11" t="s">
        <v>59</v>
      </c>
      <c r="I11" s="27" t="s">
        <v>30</v>
      </c>
      <c r="J11" s="28" t="s">
        <v>31</v>
      </c>
      <c r="K11" s="28">
        <v>80</v>
      </c>
      <c r="L11" s="28">
        <v>15</v>
      </c>
      <c r="M11" s="28" t="s">
        <v>32</v>
      </c>
    </row>
    <row r="12" spans="1:13" x14ac:dyDescent="0.2">
      <c r="A12" s="10" t="s">
        <v>60</v>
      </c>
      <c r="B12" s="18" t="s">
        <v>61</v>
      </c>
      <c r="C12" s="10" t="s">
        <v>62</v>
      </c>
      <c r="D12" s="10">
        <v>950</v>
      </c>
      <c r="E12" s="10">
        <v>25</v>
      </c>
      <c r="F12" s="10" t="s">
        <v>28</v>
      </c>
      <c r="I12" s="27" t="s">
        <v>34</v>
      </c>
      <c r="J12" s="28" t="s">
        <v>35</v>
      </c>
      <c r="K12" s="28">
        <v>130</v>
      </c>
      <c r="L12" s="28">
        <v>40</v>
      </c>
      <c r="M12" s="28" t="s">
        <v>36</v>
      </c>
    </row>
    <row r="13" spans="1:13" x14ac:dyDescent="0.2">
      <c r="A13" s="11" t="s">
        <v>63</v>
      </c>
      <c r="B13" s="19" t="s">
        <v>30</v>
      </c>
      <c r="C13" s="11" t="s">
        <v>49</v>
      </c>
      <c r="D13" s="11">
        <v>90</v>
      </c>
      <c r="E13" s="11">
        <v>40</v>
      </c>
      <c r="F13" s="11"/>
      <c r="I13" s="27" t="s">
        <v>41</v>
      </c>
      <c r="J13" s="28" t="s">
        <v>42</v>
      </c>
      <c r="K13" s="28">
        <v>70</v>
      </c>
      <c r="L13" s="28">
        <v>20</v>
      </c>
      <c r="M13" s="28"/>
    </row>
    <row r="14" spans="1:13" x14ac:dyDescent="0.2">
      <c r="A14" s="10" t="s">
        <v>64</v>
      </c>
      <c r="B14" s="18" t="s">
        <v>34</v>
      </c>
      <c r="C14" s="10" t="s">
        <v>65</v>
      </c>
      <c r="D14" s="10">
        <v>120</v>
      </c>
      <c r="E14" s="10">
        <v>35</v>
      </c>
      <c r="F14" s="10"/>
      <c r="I14" s="27" t="s">
        <v>44</v>
      </c>
      <c r="J14" s="28" t="s">
        <v>45</v>
      </c>
      <c r="K14" s="28"/>
      <c r="L14" s="28">
        <v>45</v>
      </c>
      <c r="M14" s="28" t="s">
        <v>46</v>
      </c>
    </row>
    <row r="15" spans="1:13" x14ac:dyDescent="0.2">
      <c r="A15" s="11" t="s">
        <v>66</v>
      </c>
      <c r="B15" s="19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3" x14ac:dyDescent="0.2">
      <c r="A16" s="10" t="s">
        <v>69</v>
      </c>
      <c r="B16" s="18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x14ac:dyDescent="0.2">
      <c r="A17" s="11" t="s">
        <v>72</v>
      </c>
      <c r="B17" s="19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x14ac:dyDescent="0.2">
      <c r="A18" s="10" t="s">
        <v>76</v>
      </c>
      <c r="B18" s="18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x14ac:dyDescent="0.2">
      <c r="A19" s="11" t="s">
        <v>78</v>
      </c>
      <c r="B19" s="19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x14ac:dyDescent="0.2">
      <c r="A20" s="10" t="s">
        <v>80</v>
      </c>
      <c r="B20" s="18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x14ac:dyDescent="0.2">
      <c r="A21" s="11" t="s">
        <v>83</v>
      </c>
      <c r="B21" s="19" t="s">
        <v>84</v>
      </c>
      <c r="C21" s="11" t="s">
        <v>85</v>
      </c>
      <c r="D21" s="11"/>
      <c r="E21" s="11">
        <v>10</v>
      </c>
      <c r="F21" s="11" t="s">
        <v>59</v>
      </c>
    </row>
    <row r="22" spans="1:6" x14ac:dyDescent="0.2">
      <c r="A22" s="10" t="s">
        <v>86</v>
      </c>
      <c r="B22" s="18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x14ac:dyDescent="0.2">
      <c r="A23" s="11" t="s">
        <v>89</v>
      </c>
      <c r="B23" s="19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x14ac:dyDescent="0.2">
      <c r="A24" s="10" t="s">
        <v>92</v>
      </c>
      <c r="B24" s="18" t="s">
        <v>93</v>
      </c>
      <c r="C24" s="10" t="s">
        <v>94</v>
      </c>
      <c r="D24" s="10">
        <v>150</v>
      </c>
      <c r="E24" s="10">
        <v>30</v>
      </c>
      <c r="F24" s="10"/>
    </row>
    <row r="25" spans="1:6" x14ac:dyDescent="0.2">
      <c r="A25" s="11" t="s">
        <v>72</v>
      </c>
      <c r="B25" s="19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x14ac:dyDescent="0.2">
      <c r="A26" s="10" t="s">
        <v>95</v>
      </c>
      <c r="B26" s="18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x14ac:dyDescent="0.2">
      <c r="A27" s="11" t="s">
        <v>98</v>
      </c>
      <c r="B27" s="19" t="s">
        <v>81</v>
      </c>
      <c r="C27" s="11" t="s">
        <v>99</v>
      </c>
      <c r="D27" s="11"/>
      <c r="E27" s="11">
        <v>25</v>
      </c>
      <c r="F27" s="11" t="s">
        <v>32</v>
      </c>
    </row>
    <row r="28" spans="1:6" x14ac:dyDescent="0.2">
      <c r="A28" s="10" t="s">
        <v>100</v>
      </c>
      <c r="B28" s="18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x14ac:dyDescent="0.2">
      <c r="A29" s="11" t="s">
        <v>69</v>
      </c>
      <c r="B29" s="19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x14ac:dyDescent="0.2">
      <c r="A30" s="10" t="s">
        <v>102</v>
      </c>
      <c r="B30" s="18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x14ac:dyDescent="0.2">
      <c r="A31" s="11" t="s">
        <v>105</v>
      </c>
      <c r="B31" s="19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x14ac:dyDescent="0.2">
      <c r="A32" s="10" t="s">
        <v>108</v>
      </c>
      <c r="B32" s="18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x14ac:dyDescent="0.2">
      <c r="A33" s="11" t="s">
        <v>110</v>
      </c>
      <c r="B33" s="19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x14ac:dyDescent="0.2">
      <c r="A34" s="10" t="s">
        <v>60</v>
      </c>
      <c r="B34" s="18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x14ac:dyDescent="0.2">
      <c r="A35" s="11" t="s">
        <v>113</v>
      </c>
      <c r="B35" s="19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H2" sqref="H2"/>
    </sheetView>
  </sheetViews>
  <sheetFormatPr defaultRowHeight="12.75" x14ac:dyDescent="0.2"/>
  <cols>
    <col min="1" max="1" width="12.5703125" customWidth="1"/>
    <col min="2" max="2" width="16" customWidth="1"/>
    <col min="3" max="3" width="14.42578125" customWidth="1"/>
    <col min="4" max="4" width="13" bestFit="1" customWidth="1"/>
    <col min="5" max="5" width="10.7109375" customWidth="1"/>
    <col min="6" max="6" width="13.7109375" bestFit="1" customWidth="1"/>
    <col min="7" max="7" width="20.42578125" bestFit="1" customWidth="1"/>
    <col min="8" max="8" width="18.85546875" bestFit="1" customWidth="1"/>
    <col min="9" max="9" width="20.42578125" bestFit="1" customWidth="1"/>
  </cols>
  <sheetData>
    <row r="1" spans="1:8" x14ac:dyDescent="0.2">
      <c r="A1" s="44" t="s">
        <v>19</v>
      </c>
      <c r="B1" s="44" t="s">
        <v>20</v>
      </c>
      <c r="C1" s="44" t="s">
        <v>21</v>
      </c>
      <c r="D1" s="44" t="s">
        <v>22</v>
      </c>
      <c r="E1" s="44" t="s">
        <v>23</v>
      </c>
      <c r="F1" s="44" t="s">
        <v>24</v>
      </c>
      <c r="G1" s="13" t="s">
        <v>124</v>
      </c>
      <c r="H1" s="50" t="s">
        <v>125</v>
      </c>
    </row>
    <row r="2" spans="1:8" x14ac:dyDescent="0.2">
      <c r="A2" s="45" t="s">
        <v>25</v>
      </c>
      <c r="B2" s="46" t="s">
        <v>26</v>
      </c>
      <c r="C2" s="45" t="s">
        <v>27</v>
      </c>
      <c r="D2" s="45">
        <v>1000</v>
      </c>
      <c r="E2" s="45">
        <v>30</v>
      </c>
      <c r="F2" s="45" t="s">
        <v>28</v>
      </c>
      <c r="G2" s="49" t="str">
        <f t="shared" ref="G2:G35" si="0">CONCATENATE(B2,C2)</f>
        <v>laptopDell</v>
      </c>
      <c r="H2" s="49"/>
    </row>
    <row r="3" spans="1:8" x14ac:dyDescent="0.2">
      <c r="A3" s="47" t="s">
        <v>29</v>
      </c>
      <c r="B3" s="48" t="s">
        <v>30</v>
      </c>
      <c r="C3" s="47" t="s">
        <v>31</v>
      </c>
      <c r="D3" s="47">
        <v>80</v>
      </c>
      <c r="E3" s="47">
        <v>15</v>
      </c>
      <c r="F3" s="47" t="s">
        <v>32</v>
      </c>
      <c r="G3" s="49" t="str">
        <f t="shared" si="0"/>
        <v>SneakersNike</v>
      </c>
      <c r="H3" s="38"/>
    </row>
    <row r="4" spans="1:8" x14ac:dyDescent="0.2">
      <c r="A4" s="45" t="s">
        <v>33</v>
      </c>
      <c r="B4" s="46" t="s">
        <v>34</v>
      </c>
      <c r="C4" s="45" t="s">
        <v>35</v>
      </c>
      <c r="D4" s="45">
        <v>130</v>
      </c>
      <c r="E4" s="45">
        <v>40</v>
      </c>
      <c r="F4" s="45" t="s">
        <v>36</v>
      </c>
      <c r="G4" s="49" t="str">
        <f t="shared" si="0"/>
        <v>Coffee MakerKeurig</v>
      </c>
      <c r="H4" s="36"/>
    </row>
    <row r="5" spans="1:8" x14ac:dyDescent="0.2">
      <c r="A5" s="47" t="s">
        <v>37</v>
      </c>
      <c r="B5" s="48" t="s">
        <v>38</v>
      </c>
      <c r="C5" s="47" t="s">
        <v>39</v>
      </c>
      <c r="D5" s="47">
        <v>900</v>
      </c>
      <c r="E5" s="47">
        <v>25</v>
      </c>
      <c r="F5" s="47" t="s">
        <v>28</v>
      </c>
      <c r="G5" s="49" t="str">
        <f t="shared" si="0"/>
        <v>smartphoneSamsung</v>
      </c>
      <c r="H5" s="38"/>
    </row>
    <row r="6" spans="1:8" x14ac:dyDescent="0.2">
      <c r="A6" s="45" t="s">
        <v>40</v>
      </c>
      <c r="B6" s="46" t="s">
        <v>41</v>
      </c>
      <c r="C6" s="45" t="s">
        <v>42</v>
      </c>
      <c r="D6" s="45">
        <v>70</v>
      </c>
      <c r="E6" s="45">
        <v>20</v>
      </c>
      <c r="F6" s="45"/>
      <c r="G6" s="49" t="str">
        <f t="shared" si="0"/>
        <v>BackpackNorth Face</v>
      </c>
      <c r="H6" s="36"/>
    </row>
    <row r="7" spans="1:8" x14ac:dyDescent="0.2">
      <c r="A7" s="47" t="s">
        <v>43</v>
      </c>
      <c r="B7" s="48" t="s">
        <v>44</v>
      </c>
      <c r="C7" s="47" t="s">
        <v>45</v>
      </c>
      <c r="D7" s="47"/>
      <c r="E7" s="47">
        <v>45</v>
      </c>
      <c r="F7" s="47" t="s">
        <v>46</v>
      </c>
      <c r="G7" s="49" t="str">
        <f t="shared" si="0"/>
        <v>HeadphonesSony</v>
      </c>
      <c r="H7" s="38"/>
    </row>
    <row r="8" spans="1:8" x14ac:dyDescent="0.2">
      <c r="A8" s="45" t="s">
        <v>47</v>
      </c>
      <c r="B8" s="46" t="s">
        <v>48</v>
      </c>
      <c r="C8" s="45" t="s">
        <v>49</v>
      </c>
      <c r="D8" s="45">
        <v>30</v>
      </c>
      <c r="E8" s="45">
        <v>5</v>
      </c>
      <c r="F8" s="45" t="s">
        <v>32</v>
      </c>
      <c r="G8" s="49" t="str">
        <f t="shared" si="0"/>
        <v>T-shirtAdidas</v>
      </c>
      <c r="H8" s="38"/>
    </row>
    <row r="9" spans="1:8" x14ac:dyDescent="0.2">
      <c r="A9" s="47" t="s">
        <v>50</v>
      </c>
      <c r="B9" s="48" t="s">
        <v>51</v>
      </c>
      <c r="C9" s="47" t="s">
        <v>52</v>
      </c>
      <c r="D9" s="47">
        <v>90</v>
      </c>
      <c r="E9" s="47">
        <v>35</v>
      </c>
      <c r="F9" s="47" t="s">
        <v>36</v>
      </c>
      <c r="G9" s="49" t="str">
        <f t="shared" si="0"/>
        <v>BlenderNinja</v>
      </c>
      <c r="H9" s="38"/>
    </row>
    <row r="10" spans="1:8" x14ac:dyDescent="0.2">
      <c r="A10" s="45" t="s">
        <v>53</v>
      </c>
      <c r="B10" s="46" t="s">
        <v>54</v>
      </c>
      <c r="C10" s="45" t="s">
        <v>55</v>
      </c>
      <c r="D10" s="45">
        <v>500</v>
      </c>
      <c r="E10" s="45">
        <v>50</v>
      </c>
      <c r="F10" s="45" t="s">
        <v>28</v>
      </c>
      <c r="G10" s="49" t="str">
        <f t="shared" si="0"/>
        <v>TabletApple</v>
      </c>
      <c r="H10" s="38"/>
    </row>
    <row r="11" spans="1:8" x14ac:dyDescent="0.2">
      <c r="A11" s="47" t="s">
        <v>56</v>
      </c>
      <c r="B11" s="48" t="s">
        <v>57</v>
      </c>
      <c r="C11" s="47" t="s">
        <v>58</v>
      </c>
      <c r="D11" s="47">
        <v>130</v>
      </c>
      <c r="E11" s="47">
        <v>10</v>
      </c>
      <c r="F11" s="47" t="s">
        <v>59</v>
      </c>
      <c r="G11" s="49" t="str">
        <f t="shared" si="0"/>
        <v>Hiking BootsTimberland</v>
      </c>
      <c r="H11" s="38"/>
    </row>
    <row r="12" spans="1:8" x14ac:dyDescent="0.2">
      <c r="A12" s="45" t="s">
        <v>60</v>
      </c>
      <c r="B12" s="46" t="s">
        <v>61</v>
      </c>
      <c r="C12" s="45" t="s">
        <v>62</v>
      </c>
      <c r="D12" s="45">
        <v>950</v>
      </c>
      <c r="E12" s="45">
        <v>25</v>
      </c>
      <c r="F12" s="45" t="s">
        <v>28</v>
      </c>
      <c r="G12" s="49" t="str">
        <f t="shared" si="0"/>
        <v>LaptopHP</v>
      </c>
      <c r="H12" s="38"/>
    </row>
    <row r="13" spans="1:8" x14ac:dyDescent="0.2">
      <c r="A13" s="47" t="s">
        <v>63</v>
      </c>
      <c r="B13" s="48" t="s">
        <v>30</v>
      </c>
      <c r="C13" s="47" t="s">
        <v>49</v>
      </c>
      <c r="D13" s="47">
        <v>90</v>
      </c>
      <c r="E13" s="47">
        <v>40</v>
      </c>
      <c r="F13" s="47"/>
      <c r="G13" s="49" t="str">
        <f t="shared" si="0"/>
        <v>SneakersAdidas</v>
      </c>
      <c r="H13" s="38"/>
    </row>
    <row r="14" spans="1:8" x14ac:dyDescent="0.2">
      <c r="A14" s="45" t="s">
        <v>64</v>
      </c>
      <c r="B14" s="46" t="s">
        <v>34</v>
      </c>
      <c r="C14" s="45" t="s">
        <v>65</v>
      </c>
      <c r="D14" s="45">
        <v>120</v>
      </c>
      <c r="E14" s="45">
        <v>35</v>
      </c>
      <c r="F14" s="45"/>
      <c r="G14" s="49" t="str">
        <f t="shared" si="0"/>
        <v>Coffee MakerNespresso</v>
      </c>
      <c r="H14" s="38"/>
    </row>
    <row r="15" spans="1:8" x14ac:dyDescent="0.2">
      <c r="A15" s="47" t="s">
        <v>66</v>
      </c>
      <c r="B15" s="48" t="s">
        <v>67</v>
      </c>
      <c r="C15" s="47" t="s">
        <v>68</v>
      </c>
      <c r="D15" s="47">
        <v>150</v>
      </c>
      <c r="E15" s="47">
        <v>15</v>
      </c>
      <c r="F15" s="47" t="s">
        <v>46</v>
      </c>
      <c r="G15" s="49" t="str">
        <f t="shared" si="0"/>
        <v>SmartwatchFitbit</v>
      </c>
      <c r="H15" s="38"/>
    </row>
    <row r="16" spans="1:8" x14ac:dyDescent="0.2">
      <c r="A16" s="45" t="s">
        <v>69</v>
      </c>
      <c r="B16" s="46" t="s">
        <v>70</v>
      </c>
      <c r="C16" s="45" t="s">
        <v>71</v>
      </c>
      <c r="D16" s="45">
        <v>250</v>
      </c>
      <c r="E16" s="45">
        <v>20</v>
      </c>
      <c r="F16" s="45" t="s">
        <v>46</v>
      </c>
      <c r="G16" s="49" t="str">
        <f t="shared" si="0"/>
        <v>headphonesBose</v>
      </c>
      <c r="H16" s="38"/>
    </row>
    <row r="17" spans="1:8" x14ac:dyDescent="0.2">
      <c r="A17" s="47" t="s">
        <v>72</v>
      </c>
      <c r="B17" s="48" t="s">
        <v>73</v>
      </c>
      <c r="C17" s="47" t="s">
        <v>74</v>
      </c>
      <c r="D17" s="47">
        <v>50</v>
      </c>
      <c r="E17" s="47">
        <v>35</v>
      </c>
      <c r="F17" s="47" t="s">
        <v>75</v>
      </c>
      <c r="G17" s="49" t="str">
        <f t="shared" si="0"/>
        <v>Laptop BagSamsonite</v>
      </c>
      <c r="H17" s="38"/>
    </row>
    <row r="18" spans="1:8" x14ac:dyDescent="0.2">
      <c r="A18" s="45" t="s">
        <v>76</v>
      </c>
      <c r="B18" s="46" t="s">
        <v>67</v>
      </c>
      <c r="C18" s="45" t="s">
        <v>77</v>
      </c>
      <c r="D18" s="45">
        <v>160</v>
      </c>
      <c r="E18" s="45">
        <v>15</v>
      </c>
      <c r="F18" s="45" t="s">
        <v>46</v>
      </c>
      <c r="G18" s="49" t="str">
        <f t="shared" si="0"/>
        <v>SmartwatchHuawei</v>
      </c>
      <c r="H18" s="38"/>
    </row>
    <row r="19" spans="1:8" x14ac:dyDescent="0.2">
      <c r="A19" s="47" t="s">
        <v>78</v>
      </c>
      <c r="B19" s="48" t="s">
        <v>26</v>
      </c>
      <c r="C19" s="47" t="s">
        <v>79</v>
      </c>
      <c r="D19" s="47">
        <v>980</v>
      </c>
      <c r="E19" s="47">
        <v>10</v>
      </c>
      <c r="F19" s="47" t="s">
        <v>28</v>
      </c>
      <c r="G19" s="49" t="str">
        <f t="shared" si="0"/>
        <v>laptopAsus</v>
      </c>
      <c r="H19" s="38"/>
    </row>
    <row r="20" spans="1:8" x14ac:dyDescent="0.2">
      <c r="A20" s="45" t="s">
        <v>80</v>
      </c>
      <c r="B20" s="46" t="s">
        <v>81</v>
      </c>
      <c r="C20" s="45" t="s">
        <v>82</v>
      </c>
      <c r="D20" s="45">
        <v>150</v>
      </c>
      <c r="E20" s="45">
        <v>15</v>
      </c>
      <c r="F20" s="45" t="s">
        <v>32</v>
      </c>
      <c r="G20" s="49" t="str">
        <f t="shared" si="0"/>
        <v>SunglassesOakley</v>
      </c>
      <c r="H20" s="38"/>
    </row>
    <row r="21" spans="1:8" x14ac:dyDescent="0.2">
      <c r="A21" s="47" t="s">
        <v>83</v>
      </c>
      <c r="B21" s="48" t="s">
        <v>84</v>
      </c>
      <c r="C21" s="47" t="s">
        <v>85</v>
      </c>
      <c r="D21" s="47"/>
      <c r="E21" s="47">
        <v>10</v>
      </c>
      <c r="F21" s="47" t="s">
        <v>59</v>
      </c>
      <c r="G21" s="49" t="str">
        <f t="shared" si="0"/>
        <v>Camping TentColeman</v>
      </c>
      <c r="H21" s="38"/>
    </row>
    <row r="22" spans="1:8" x14ac:dyDescent="0.2">
      <c r="A22" s="45" t="s">
        <v>86</v>
      </c>
      <c r="B22" s="46" t="s">
        <v>87</v>
      </c>
      <c r="C22" s="45" t="s">
        <v>88</v>
      </c>
      <c r="D22" s="45">
        <v>700</v>
      </c>
      <c r="E22" s="45">
        <v>50</v>
      </c>
      <c r="F22" s="45" t="s">
        <v>28</v>
      </c>
      <c r="G22" s="49" t="str">
        <f t="shared" si="0"/>
        <v>CameraNikon</v>
      </c>
      <c r="H22" s="38"/>
    </row>
    <row r="23" spans="1:8" x14ac:dyDescent="0.2">
      <c r="A23" s="47" t="s">
        <v>89</v>
      </c>
      <c r="B23" s="48" t="s">
        <v>90</v>
      </c>
      <c r="C23" s="47" t="s">
        <v>91</v>
      </c>
      <c r="D23" s="47">
        <v>80</v>
      </c>
      <c r="E23" s="47">
        <v>20</v>
      </c>
      <c r="F23" s="47" t="s">
        <v>36</v>
      </c>
      <c r="G23" s="49" t="str">
        <f t="shared" si="0"/>
        <v>MicrowavePanasonic</v>
      </c>
      <c r="H23" s="38"/>
    </row>
    <row r="24" spans="1:8" x14ac:dyDescent="0.2">
      <c r="A24" s="45" t="s">
        <v>92</v>
      </c>
      <c r="B24" s="46" t="s">
        <v>93</v>
      </c>
      <c r="C24" s="45" t="s">
        <v>94</v>
      </c>
      <c r="D24" s="45">
        <v>150</v>
      </c>
      <c r="E24" s="45">
        <v>30</v>
      </c>
      <c r="F24" s="45"/>
      <c r="G24" s="49" t="str">
        <f t="shared" si="0"/>
        <v>Fitness TrackerXiaomi</v>
      </c>
      <c r="H24" s="38"/>
    </row>
    <row r="25" spans="1:8" x14ac:dyDescent="0.2">
      <c r="A25" s="47" t="s">
        <v>72</v>
      </c>
      <c r="B25" s="48" t="s">
        <v>73</v>
      </c>
      <c r="C25" s="47" t="s">
        <v>74</v>
      </c>
      <c r="D25" s="47">
        <v>50</v>
      </c>
      <c r="E25" s="47">
        <v>35</v>
      </c>
      <c r="F25" s="47" t="s">
        <v>75</v>
      </c>
      <c r="G25" s="49" t="str">
        <f t="shared" si="0"/>
        <v>Laptop BagSamsonite</v>
      </c>
      <c r="H25" s="38"/>
    </row>
    <row r="26" spans="1:8" x14ac:dyDescent="0.2">
      <c r="A26" s="45" t="s">
        <v>95</v>
      </c>
      <c r="B26" s="46" t="s">
        <v>96</v>
      </c>
      <c r="C26" s="45" t="s">
        <v>97</v>
      </c>
      <c r="D26" s="45">
        <v>800</v>
      </c>
      <c r="E26" s="45">
        <v>45</v>
      </c>
      <c r="F26" s="45" t="s">
        <v>28</v>
      </c>
      <c r="G26" s="49" t="str">
        <f t="shared" si="0"/>
        <v>SmartphoneGoogle</v>
      </c>
      <c r="H26" s="38"/>
    </row>
    <row r="27" spans="1:8" x14ac:dyDescent="0.2">
      <c r="A27" s="47" t="s">
        <v>98</v>
      </c>
      <c r="B27" s="48" t="s">
        <v>81</v>
      </c>
      <c r="C27" s="47" t="s">
        <v>99</v>
      </c>
      <c r="D27" s="47"/>
      <c r="E27" s="47">
        <v>25</v>
      </c>
      <c r="F27" s="47" t="s">
        <v>32</v>
      </c>
      <c r="G27" s="49" t="str">
        <f t="shared" si="0"/>
        <v>SunglassesRay-Ban</v>
      </c>
      <c r="H27" s="38"/>
    </row>
    <row r="28" spans="1:8" x14ac:dyDescent="0.2">
      <c r="A28" s="45" t="s">
        <v>100</v>
      </c>
      <c r="B28" s="46" t="s">
        <v>51</v>
      </c>
      <c r="C28" s="45" t="s">
        <v>101</v>
      </c>
      <c r="D28" s="45">
        <v>400</v>
      </c>
      <c r="E28" s="45">
        <v>40</v>
      </c>
      <c r="F28" s="45" t="s">
        <v>36</v>
      </c>
      <c r="G28" s="49" t="str">
        <f t="shared" si="0"/>
        <v>BlenderVitamix</v>
      </c>
      <c r="H28" s="38"/>
    </row>
    <row r="29" spans="1:8" x14ac:dyDescent="0.2">
      <c r="A29" s="47" t="s">
        <v>69</v>
      </c>
      <c r="B29" s="48" t="s">
        <v>70</v>
      </c>
      <c r="C29" s="47" t="s">
        <v>71</v>
      </c>
      <c r="D29" s="47">
        <v>250</v>
      </c>
      <c r="E29" s="47">
        <v>20</v>
      </c>
      <c r="F29" s="47" t="s">
        <v>46</v>
      </c>
      <c r="G29" s="49" t="str">
        <f t="shared" si="0"/>
        <v>headphonesBose</v>
      </c>
      <c r="H29" s="38"/>
    </row>
    <row r="30" spans="1:8" x14ac:dyDescent="0.2">
      <c r="A30" s="45" t="s">
        <v>102</v>
      </c>
      <c r="B30" s="46" t="s">
        <v>103</v>
      </c>
      <c r="C30" s="45" t="s">
        <v>104</v>
      </c>
      <c r="D30" s="45">
        <v>60</v>
      </c>
      <c r="E30" s="45">
        <v>30</v>
      </c>
      <c r="F30" s="45" t="s">
        <v>32</v>
      </c>
      <c r="G30" s="49" t="str">
        <f t="shared" si="0"/>
        <v>DressZara</v>
      </c>
      <c r="H30" s="38"/>
    </row>
    <row r="31" spans="1:8" x14ac:dyDescent="0.2">
      <c r="A31" s="47" t="s">
        <v>105</v>
      </c>
      <c r="B31" s="48" t="s">
        <v>106</v>
      </c>
      <c r="C31" s="47" t="s">
        <v>107</v>
      </c>
      <c r="D31" s="47">
        <v>40</v>
      </c>
      <c r="E31" s="47">
        <v>10</v>
      </c>
      <c r="F31" s="47" t="s">
        <v>36</v>
      </c>
      <c r="G31" s="49" t="str">
        <f t="shared" si="0"/>
        <v>ToasterHamilton</v>
      </c>
      <c r="H31" s="38"/>
    </row>
    <row r="32" spans="1:8" x14ac:dyDescent="0.2">
      <c r="A32" s="45" t="s">
        <v>108</v>
      </c>
      <c r="B32" s="46" t="s">
        <v>93</v>
      </c>
      <c r="C32" s="45" t="s">
        <v>109</v>
      </c>
      <c r="D32" s="45">
        <v>130</v>
      </c>
      <c r="E32" s="45">
        <v>5</v>
      </c>
      <c r="F32" s="45" t="s">
        <v>28</v>
      </c>
      <c r="G32" s="49" t="str">
        <f t="shared" si="0"/>
        <v>Fitness TrackerGarmin</v>
      </c>
      <c r="H32" s="38"/>
    </row>
    <row r="33" spans="1:8" x14ac:dyDescent="0.2">
      <c r="A33" s="47" t="s">
        <v>110</v>
      </c>
      <c r="B33" s="48" t="s">
        <v>111</v>
      </c>
      <c r="C33" s="47" t="s">
        <v>112</v>
      </c>
      <c r="D33" s="47">
        <v>50</v>
      </c>
      <c r="E33" s="47">
        <v>50</v>
      </c>
      <c r="F33" s="47" t="s">
        <v>32</v>
      </c>
      <c r="G33" s="49" t="str">
        <f t="shared" si="0"/>
        <v>JeansLevi's</v>
      </c>
      <c r="H33" s="38"/>
    </row>
    <row r="34" spans="1:8" x14ac:dyDescent="0.2">
      <c r="A34" s="45" t="s">
        <v>60</v>
      </c>
      <c r="B34" s="46" t="s">
        <v>61</v>
      </c>
      <c r="C34" s="45" t="s">
        <v>62</v>
      </c>
      <c r="D34" s="45">
        <v>950</v>
      </c>
      <c r="E34" s="45">
        <v>25</v>
      </c>
      <c r="F34" s="45" t="s">
        <v>28</v>
      </c>
      <c r="G34" s="49" t="str">
        <f t="shared" si="0"/>
        <v>LaptopHP</v>
      </c>
      <c r="H34" s="38"/>
    </row>
    <row r="35" spans="1:8" x14ac:dyDescent="0.2">
      <c r="A35" s="47" t="s">
        <v>113</v>
      </c>
      <c r="B35" s="48" t="s">
        <v>114</v>
      </c>
      <c r="C35" s="47" t="s">
        <v>115</v>
      </c>
      <c r="D35" s="47">
        <v>100</v>
      </c>
      <c r="E35" s="47">
        <v>20</v>
      </c>
      <c r="F35" s="47" t="s">
        <v>75</v>
      </c>
      <c r="G35" s="49" t="str">
        <f t="shared" si="0"/>
        <v>WatchCasio</v>
      </c>
      <c r="H35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G2" sqref="G2"/>
    </sheetView>
  </sheetViews>
  <sheetFormatPr defaultRowHeight="12.75" x14ac:dyDescent="0.2"/>
  <cols>
    <col min="1" max="1" width="10.85546875" bestFit="1" customWidth="1"/>
    <col min="6" max="6" width="11.28515625" bestFit="1" customWidth="1"/>
    <col min="7" max="7" width="17.42578125" bestFit="1" customWidth="1"/>
  </cols>
  <sheetData>
    <row r="1" spans="1:7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13" t="s">
        <v>121</v>
      </c>
    </row>
    <row r="2" spans="1:7" x14ac:dyDescent="0.2">
      <c r="A2" s="10" t="s">
        <v>25</v>
      </c>
      <c r="B2" s="18" t="s">
        <v>26</v>
      </c>
      <c r="C2" s="10" t="s">
        <v>27</v>
      </c>
      <c r="D2" s="10">
        <v>1000</v>
      </c>
      <c r="E2" s="10">
        <v>30</v>
      </c>
      <c r="F2" s="10" t="s">
        <v>28</v>
      </c>
      <c r="G2" s="33">
        <v>1000</v>
      </c>
    </row>
    <row r="3" spans="1:7" x14ac:dyDescent="0.2">
      <c r="A3" s="11" t="s">
        <v>29</v>
      </c>
      <c r="B3" s="19" t="s">
        <v>30</v>
      </c>
      <c r="C3" s="11" t="s">
        <v>31</v>
      </c>
      <c r="D3" s="11">
        <v>80</v>
      </c>
      <c r="E3" s="11">
        <v>15</v>
      </c>
      <c r="F3" s="11" t="s">
        <v>32</v>
      </c>
      <c r="G3" s="34">
        <v>80</v>
      </c>
    </row>
    <row r="4" spans="1:7" x14ac:dyDescent="0.2">
      <c r="A4" s="10" t="s">
        <v>33</v>
      </c>
      <c r="B4" s="18" t="s">
        <v>34</v>
      </c>
      <c r="C4" s="10" t="s">
        <v>35</v>
      </c>
      <c r="D4" s="10">
        <v>130</v>
      </c>
      <c r="E4" s="10">
        <v>40</v>
      </c>
      <c r="F4" s="10" t="s">
        <v>36</v>
      </c>
      <c r="G4" s="33">
        <v>130</v>
      </c>
    </row>
    <row r="5" spans="1:7" x14ac:dyDescent="0.2">
      <c r="A5" s="11" t="s">
        <v>37</v>
      </c>
      <c r="B5" s="19" t="s">
        <v>38</v>
      </c>
      <c r="C5" s="11" t="s">
        <v>39</v>
      </c>
      <c r="D5" s="11">
        <v>900</v>
      </c>
      <c r="E5" s="11">
        <v>25</v>
      </c>
      <c r="F5" s="11" t="s">
        <v>28</v>
      </c>
      <c r="G5" s="34">
        <v>900</v>
      </c>
    </row>
    <row r="6" spans="1:7" x14ac:dyDescent="0.2">
      <c r="A6" s="10" t="s">
        <v>40</v>
      </c>
      <c r="B6" s="18" t="s">
        <v>41</v>
      </c>
      <c r="C6" s="10" t="s">
        <v>42</v>
      </c>
      <c r="D6" s="10">
        <v>70</v>
      </c>
      <c r="E6" s="10">
        <v>20</v>
      </c>
      <c r="F6" s="10"/>
      <c r="G6" s="33">
        <v>70</v>
      </c>
    </row>
    <row r="7" spans="1:7" x14ac:dyDescent="0.2">
      <c r="A7" s="11" t="s">
        <v>43</v>
      </c>
      <c r="B7" s="19" t="s">
        <v>44</v>
      </c>
      <c r="C7" s="11" t="s">
        <v>45</v>
      </c>
      <c r="D7" s="11"/>
      <c r="E7" s="11">
        <v>45</v>
      </c>
      <c r="F7" s="11" t="s">
        <v>46</v>
      </c>
      <c r="G7" s="34"/>
    </row>
    <row r="8" spans="1:7" x14ac:dyDescent="0.2">
      <c r="A8" s="10" t="s">
        <v>47</v>
      </c>
      <c r="B8" s="18" t="s">
        <v>48</v>
      </c>
      <c r="C8" s="10" t="s">
        <v>49</v>
      </c>
      <c r="D8" s="10">
        <v>30</v>
      </c>
      <c r="E8" s="10">
        <v>5</v>
      </c>
      <c r="F8" s="10" t="s">
        <v>32</v>
      </c>
      <c r="G8" s="33">
        <v>30</v>
      </c>
    </row>
    <row r="9" spans="1:7" x14ac:dyDescent="0.2">
      <c r="A9" s="11" t="s">
        <v>50</v>
      </c>
      <c r="B9" s="19" t="s">
        <v>51</v>
      </c>
      <c r="C9" s="11" t="s">
        <v>52</v>
      </c>
      <c r="D9" s="11">
        <v>90</v>
      </c>
      <c r="E9" s="11">
        <v>35</v>
      </c>
      <c r="F9" s="11" t="s">
        <v>36</v>
      </c>
      <c r="G9" s="34">
        <v>90</v>
      </c>
    </row>
    <row r="10" spans="1:7" x14ac:dyDescent="0.2">
      <c r="A10" s="10" t="s">
        <v>53</v>
      </c>
      <c r="B10" s="18" t="s">
        <v>54</v>
      </c>
      <c r="C10" s="10" t="s">
        <v>55</v>
      </c>
      <c r="D10" s="10">
        <v>500</v>
      </c>
      <c r="E10" s="10">
        <v>50</v>
      </c>
      <c r="F10" s="10" t="s">
        <v>28</v>
      </c>
      <c r="G10" s="33">
        <v>500</v>
      </c>
    </row>
    <row r="11" spans="1:7" x14ac:dyDescent="0.2">
      <c r="A11" s="11" t="s">
        <v>56</v>
      </c>
      <c r="B11" s="19" t="s">
        <v>57</v>
      </c>
      <c r="C11" s="11" t="s">
        <v>58</v>
      </c>
      <c r="D11" s="11">
        <v>130</v>
      </c>
      <c r="E11" s="11">
        <v>10</v>
      </c>
      <c r="F11" s="11" t="s">
        <v>59</v>
      </c>
      <c r="G11" s="34">
        <v>130</v>
      </c>
    </row>
    <row r="12" spans="1:7" x14ac:dyDescent="0.2">
      <c r="A12" s="10" t="s">
        <v>60</v>
      </c>
      <c r="B12" s="18" t="s">
        <v>61</v>
      </c>
      <c r="C12" s="10" t="s">
        <v>62</v>
      </c>
      <c r="D12" s="10">
        <v>950</v>
      </c>
      <c r="E12" s="10">
        <v>25</v>
      </c>
      <c r="F12" s="10" t="s">
        <v>28</v>
      </c>
      <c r="G12" s="33">
        <v>950</v>
      </c>
    </row>
    <row r="13" spans="1:7" x14ac:dyDescent="0.2">
      <c r="A13" s="11" t="s">
        <v>63</v>
      </c>
      <c r="B13" s="19" t="s">
        <v>30</v>
      </c>
      <c r="C13" s="11" t="s">
        <v>49</v>
      </c>
      <c r="D13" s="11">
        <v>90</v>
      </c>
      <c r="E13" s="11">
        <v>40</v>
      </c>
      <c r="F13" s="11"/>
      <c r="G13" s="34">
        <v>90</v>
      </c>
    </row>
    <row r="14" spans="1:7" x14ac:dyDescent="0.2">
      <c r="A14" s="10" t="s">
        <v>64</v>
      </c>
      <c r="B14" s="18" t="s">
        <v>34</v>
      </c>
      <c r="C14" s="10" t="s">
        <v>65</v>
      </c>
      <c r="D14" s="10">
        <v>120</v>
      </c>
      <c r="E14" s="10">
        <v>35</v>
      </c>
      <c r="F14" s="10"/>
      <c r="G14" s="33">
        <v>120</v>
      </c>
    </row>
    <row r="15" spans="1:7" x14ac:dyDescent="0.2">
      <c r="A15" s="11" t="s">
        <v>66</v>
      </c>
      <c r="B15" s="19" t="s">
        <v>67</v>
      </c>
      <c r="C15" s="11" t="s">
        <v>68</v>
      </c>
      <c r="D15" s="11">
        <v>150</v>
      </c>
      <c r="E15" s="11">
        <v>15</v>
      </c>
      <c r="F15" s="11" t="s">
        <v>46</v>
      </c>
      <c r="G15" s="34">
        <v>150</v>
      </c>
    </row>
    <row r="16" spans="1:7" x14ac:dyDescent="0.2">
      <c r="A16" s="10" t="s">
        <v>69</v>
      </c>
      <c r="B16" s="18" t="s">
        <v>70</v>
      </c>
      <c r="C16" s="10" t="s">
        <v>71</v>
      </c>
      <c r="D16" s="10">
        <v>250</v>
      </c>
      <c r="E16" s="10">
        <v>20</v>
      </c>
      <c r="F16" s="10" t="s">
        <v>46</v>
      </c>
      <c r="G16" s="33">
        <v>250</v>
      </c>
    </row>
    <row r="17" spans="1:7" x14ac:dyDescent="0.2">
      <c r="A17" s="11" t="s">
        <v>72</v>
      </c>
      <c r="B17" s="19" t="s">
        <v>73</v>
      </c>
      <c r="C17" s="11" t="s">
        <v>74</v>
      </c>
      <c r="D17" s="11">
        <v>50</v>
      </c>
      <c r="E17" s="11">
        <v>35</v>
      </c>
      <c r="F17" s="11" t="s">
        <v>75</v>
      </c>
      <c r="G17" s="34">
        <v>50</v>
      </c>
    </row>
    <row r="18" spans="1:7" x14ac:dyDescent="0.2">
      <c r="A18" s="10" t="s">
        <v>76</v>
      </c>
      <c r="B18" s="18" t="s">
        <v>67</v>
      </c>
      <c r="C18" s="10" t="s">
        <v>77</v>
      </c>
      <c r="D18" s="10">
        <v>160</v>
      </c>
      <c r="E18" s="10">
        <v>15</v>
      </c>
      <c r="F18" s="10" t="s">
        <v>46</v>
      </c>
      <c r="G18" s="33">
        <v>160</v>
      </c>
    </row>
    <row r="19" spans="1:7" x14ac:dyDescent="0.2">
      <c r="A19" s="11" t="s">
        <v>78</v>
      </c>
      <c r="B19" s="19" t="s">
        <v>26</v>
      </c>
      <c r="C19" s="11" t="s">
        <v>79</v>
      </c>
      <c r="D19" s="11">
        <v>980</v>
      </c>
      <c r="E19" s="11">
        <v>10</v>
      </c>
      <c r="F19" s="11" t="s">
        <v>28</v>
      </c>
      <c r="G19" s="34">
        <v>980</v>
      </c>
    </row>
    <row r="20" spans="1:7" x14ac:dyDescent="0.2">
      <c r="A20" s="10" t="s">
        <v>80</v>
      </c>
      <c r="B20" s="18" t="s">
        <v>81</v>
      </c>
      <c r="C20" s="10" t="s">
        <v>82</v>
      </c>
      <c r="D20" s="10">
        <v>150</v>
      </c>
      <c r="E20" s="10">
        <v>15</v>
      </c>
      <c r="F20" s="10" t="s">
        <v>32</v>
      </c>
      <c r="G20" s="33">
        <v>150</v>
      </c>
    </row>
    <row r="21" spans="1:7" x14ac:dyDescent="0.2">
      <c r="A21" s="11" t="s">
        <v>83</v>
      </c>
      <c r="B21" s="19" t="s">
        <v>84</v>
      </c>
      <c r="C21" s="11" t="s">
        <v>85</v>
      </c>
      <c r="D21" s="11"/>
      <c r="E21" s="11">
        <v>10</v>
      </c>
      <c r="F21" s="11" t="s">
        <v>59</v>
      </c>
      <c r="G21" s="34"/>
    </row>
    <row r="22" spans="1:7" x14ac:dyDescent="0.2">
      <c r="A22" s="10" t="s">
        <v>86</v>
      </c>
      <c r="B22" s="18" t="s">
        <v>87</v>
      </c>
      <c r="C22" s="10" t="s">
        <v>88</v>
      </c>
      <c r="D22" s="10">
        <v>700</v>
      </c>
      <c r="E22" s="10">
        <v>50</v>
      </c>
      <c r="F22" s="10" t="s">
        <v>28</v>
      </c>
      <c r="G22" s="33">
        <v>700</v>
      </c>
    </row>
    <row r="23" spans="1:7" x14ac:dyDescent="0.2">
      <c r="A23" s="11" t="s">
        <v>89</v>
      </c>
      <c r="B23" s="19" t="s">
        <v>90</v>
      </c>
      <c r="C23" s="11" t="s">
        <v>91</v>
      </c>
      <c r="D23" s="11">
        <v>80</v>
      </c>
      <c r="E23" s="11">
        <v>20</v>
      </c>
      <c r="F23" s="11" t="s">
        <v>36</v>
      </c>
      <c r="G23" s="34">
        <v>80</v>
      </c>
    </row>
    <row r="24" spans="1:7" x14ac:dyDescent="0.2">
      <c r="A24" s="10" t="s">
        <v>92</v>
      </c>
      <c r="B24" s="18" t="s">
        <v>93</v>
      </c>
      <c r="C24" s="10" t="s">
        <v>94</v>
      </c>
      <c r="D24" s="10">
        <v>150</v>
      </c>
      <c r="E24" s="10">
        <v>30</v>
      </c>
      <c r="F24" s="10"/>
      <c r="G24" s="33">
        <v>150</v>
      </c>
    </row>
    <row r="25" spans="1:7" x14ac:dyDescent="0.2">
      <c r="A25" s="11" t="s">
        <v>72</v>
      </c>
      <c r="B25" s="19" t="s">
        <v>73</v>
      </c>
      <c r="C25" s="11" t="s">
        <v>74</v>
      </c>
      <c r="D25" s="11">
        <v>50</v>
      </c>
      <c r="E25" s="11">
        <v>35</v>
      </c>
      <c r="F25" s="11" t="s">
        <v>75</v>
      </c>
      <c r="G25" s="34">
        <v>50</v>
      </c>
    </row>
    <row r="26" spans="1:7" x14ac:dyDescent="0.2">
      <c r="A26" s="10" t="s">
        <v>95</v>
      </c>
      <c r="B26" s="18" t="s">
        <v>96</v>
      </c>
      <c r="C26" s="10" t="s">
        <v>97</v>
      </c>
      <c r="D26" s="10">
        <v>800</v>
      </c>
      <c r="E26" s="10">
        <v>45</v>
      </c>
      <c r="F26" s="10" t="s">
        <v>28</v>
      </c>
      <c r="G26" s="33">
        <v>800</v>
      </c>
    </row>
    <row r="27" spans="1:7" x14ac:dyDescent="0.2">
      <c r="A27" s="11" t="s">
        <v>98</v>
      </c>
      <c r="B27" s="19" t="s">
        <v>81</v>
      </c>
      <c r="C27" s="11" t="s">
        <v>99</v>
      </c>
      <c r="D27" s="11"/>
      <c r="E27" s="11">
        <v>25</v>
      </c>
      <c r="F27" s="11" t="s">
        <v>32</v>
      </c>
      <c r="G27" s="34"/>
    </row>
    <row r="28" spans="1:7" x14ac:dyDescent="0.2">
      <c r="A28" s="10" t="s">
        <v>100</v>
      </c>
      <c r="B28" s="18" t="s">
        <v>51</v>
      </c>
      <c r="C28" s="10" t="s">
        <v>101</v>
      </c>
      <c r="D28" s="10">
        <v>400</v>
      </c>
      <c r="E28" s="10">
        <v>40</v>
      </c>
      <c r="F28" s="10" t="s">
        <v>36</v>
      </c>
      <c r="G28" s="33">
        <v>400</v>
      </c>
    </row>
    <row r="29" spans="1:7" x14ac:dyDescent="0.2">
      <c r="A29" s="11" t="s">
        <v>69</v>
      </c>
      <c r="B29" s="19" t="s">
        <v>70</v>
      </c>
      <c r="C29" s="11" t="s">
        <v>71</v>
      </c>
      <c r="D29" s="11">
        <v>250</v>
      </c>
      <c r="E29" s="11">
        <v>20</v>
      </c>
      <c r="F29" s="11" t="s">
        <v>46</v>
      </c>
      <c r="G29" s="34">
        <v>250</v>
      </c>
    </row>
    <row r="30" spans="1:7" x14ac:dyDescent="0.2">
      <c r="A30" s="10" t="s">
        <v>102</v>
      </c>
      <c r="B30" s="18" t="s">
        <v>103</v>
      </c>
      <c r="C30" s="10" t="s">
        <v>104</v>
      </c>
      <c r="D30" s="10">
        <v>60</v>
      </c>
      <c r="E30" s="10">
        <v>30</v>
      </c>
      <c r="F30" s="10" t="s">
        <v>32</v>
      </c>
      <c r="G30" s="33">
        <v>60</v>
      </c>
    </row>
    <row r="31" spans="1:7" x14ac:dyDescent="0.2">
      <c r="A31" s="11" t="s">
        <v>105</v>
      </c>
      <c r="B31" s="19" t="s">
        <v>106</v>
      </c>
      <c r="C31" s="11" t="s">
        <v>107</v>
      </c>
      <c r="D31" s="11">
        <v>40</v>
      </c>
      <c r="E31" s="11">
        <v>10</v>
      </c>
      <c r="F31" s="11" t="s">
        <v>36</v>
      </c>
      <c r="G31" s="34">
        <v>40</v>
      </c>
    </row>
    <row r="32" spans="1:7" x14ac:dyDescent="0.2">
      <c r="A32" s="10" t="s">
        <v>108</v>
      </c>
      <c r="B32" s="18" t="s">
        <v>93</v>
      </c>
      <c r="C32" s="10" t="s">
        <v>109</v>
      </c>
      <c r="D32" s="10">
        <v>130</v>
      </c>
      <c r="E32" s="10">
        <v>5</v>
      </c>
      <c r="F32" s="10" t="s">
        <v>28</v>
      </c>
      <c r="G32" s="33">
        <v>130</v>
      </c>
    </row>
    <row r="33" spans="1:7" x14ac:dyDescent="0.2">
      <c r="A33" s="11" t="s">
        <v>110</v>
      </c>
      <c r="B33" s="19" t="s">
        <v>111</v>
      </c>
      <c r="C33" s="11" t="s">
        <v>112</v>
      </c>
      <c r="D33" s="11">
        <v>50</v>
      </c>
      <c r="E33" s="11">
        <v>50</v>
      </c>
      <c r="F33" s="11" t="s">
        <v>32</v>
      </c>
      <c r="G33" s="34">
        <v>50</v>
      </c>
    </row>
    <row r="34" spans="1:7" x14ac:dyDescent="0.2">
      <c r="A34" s="10" t="s">
        <v>60</v>
      </c>
      <c r="B34" s="18" t="s">
        <v>61</v>
      </c>
      <c r="C34" s="10" t="s">
        <v>62</v>
      </c>
      <c r="D34" s="10">
        <v>950</v>
      </c>
      <c r="E34" s="10">
        <v>25</v>
      </c>
      <c r="F34" s="10" t="s">
        <v>28</v>
      </c>
      <c r="G34" s="33">
        <v>950</v>
      </c>
    </row>
    <row r="35" spans="1:7" x14ac:dyDescent="0.2">
      <c r="A35" s="11" t="s">
        <v>113</v>
      </c>
      <c r="B35" s="19" t="s">
        <v>114</v>
      </c>
      <c r="C35" s="11" t="s">
        <v>115</v>
      </c>
      <c r="D35" s="11">
        <v>100</v>
      </c>
      <c r="E35" s="11">
        <v>20</v>
      </c>
      <c r="F35" s="11" t="s">
        <v>75</v>
      </c>
      <c r="G35" s="34"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H10" sqref="H10"/>
    </sheetView>
  </sheetViews>
  <sheetFormatPr defaultRowHeight="12.75" x14ac:dyDescent="0.2"/>
  <cols>
    <col min="6" max="6" width="11.28515625" bestFit="1" customWidth="1"/>
  </cols>
  <sheetData>
    <row r="1" spans="1:6" x14ac:dyDescent="0.2">
      <c r="A1" s="35" t="s">
        <v>19</v>
      </c>
      <c r="B1" s="35" t="s">
        <v>20</v>
      </c>
      <c r="C1" s="35" t="s">
        <v>21</v>
      </c>
      <c r="D1" s="35" t="s">
        <v>22</v>
      </c>
      <c r="E1" s="35" t="s">
        <v>23</v>
      </c>
      <c r="F1" s="35" t="s">
        <v>24</v>
      </c>
    </row>
    <row r="2" spans="1:6" x14ac:dyDescent="0.2">
      <c r="A2" s="31" t="s">
        <v>25</v>
      </c>
      <c r="B2" s="32" t="s">
        <v>26</v>
      </c>
      <c r="C2" s="31" t="s">
        <v>27</v>
      </c>
      <c r="D2" s="31">
        <v>1000</v>
      </c>
      <c r="E2" s="31">
        <v>30</v>
      </c>
      <c r="F2" s="31" t="s">
        <v>28</v>
      </c>
    </row>
    <row r="3" spans="1:6" x14ac:dyDescent="0.2">
      <c r="A3" s="31" t="s">
        <v>29</v>
      </c>
      <c r="B3" s="32" t="s">
        <v>30</v>
      </c>
      <c r="C3" s="31" t="s">
        <v>31</v>
      </c>
      <c r="D3" s="31">
        <v>80</v>
      </c>
      <c r="E3" s="31">
        <v>15</v>
      </c>
      <c r="F3" s="31" t="s">
        <v>32</v>
      </c>
    </row>
    <row r="4" spans="1:6" x14ac:dyDescent="0.2">
      <c r="A4" s="31" t="s">
        <v>33</v>
      </c>
      <c r="B4" s="32" t="s">
        <v>34</v>
      </c>
      <c r="C4" s="31" t="s">
        <v>35</v>
      </c>
      <c r="D4" s="31">
        <v>130</v>
      </c>
      <c r="E4" s="31">
        <v>40</v>
      </c>
      <c r="F4" s="31" t="s">
        <v>36</v>
      </c>
    </row>
    <row r="5" spans="1:6" x14ac:dyDescent="0.2">
      <c r="A5" s="31" t="s">
        <v>37</v>
      </c>
      <c r="B5" s="32" t="s">
        <v>38</v>
      </c>
      <c r="C5" s="31" t="s">
        <v>39</v>
      </c>
      <c r="D5" s="31">
        <v>900</v>
      </c>
      <c r="E5" s="31">
        <v>25</v>
      </c>
      <c r="F5" s="31" t="s">
        <v>28</v>
      </c>
    </row>
    <row r="6" spans="1:6" x14ac:dyDescent="0.2">
      <c r="A6" s="31" t="s">
        <v>40</v>
      </c>
      <c r="B6" s="32" t="s">
        <v>41</v>
      </c>
      <c r="C6" s="31" t="s">
        <v>42</v>
      </c>
      <c r="D6" s="31">
        <v>70</v>
      </c>
      <c r="E6" s="31">
        <v>20</v>
      </c>
      <c r="F6" s="31"/>
    </row>
    <row r="7" spans="1:6" x14ac:dyDescent="0.2">
      <c r="A7" s="31" t="s">
        <v>43</v>
      </c>
      <c r="B7" s="32" t="s">
        <v>44</v>
      </c>
      <c r="C7" s="31" t="s">
        <v>45</v>
      </c>
      <c r="D7" s="31"/>
      <c r="E7" s="31">
        <v>45</v>
      </c>
      <c r="F7" s="31" t="s">
        <v>46</v>
      </c>
    </row>
    <row r="8" spans="1:6" x14ac:dyDescent="0.2">
      <c r="A8" s="31" t="s">
        <v>47</v>
      </c>
      <c r="B8" s="32" t="s">
        <v>48</v>
      </c>
      <c r="C8" s="31" t="s">
        <v>49</v>
      </c>
      <c r="D8" s="31">
        <v>30</v>
      </c>
      <c r="E8" s="31">
        <v>5</v>
      </c>
      <c r="F8" s="31" t="s">
        <v>32</v>
      </c>
    </row>
    <row r="9" spans="1:6" x14ac:dyDescent="0.2">
      <c r="A9" s="31" t="s">
        <v>50</v>
      </c>
      <c r="B9" s="32" t="s">
        <v>51</v>
      </c>
      <c r="C9" s="31" t="s">
        <v>52</v>
      </c>
      <c r="D9" s="31">
        <v>90</v>
      </c>
      <c r="E9" s="31">
        <v>35</v>
      </c>
      <c r="F9" s="31" t="s">
        <v>36</v>
      </c>
    </row>
    <row r="10" spans="1:6" x14ac:dyDescent="0.2">
      <c r="A10" s="31" t="s">
        <v>53</v>
      </c>
      <c r="B10" s="32" t="s">
        <v>54</v>
      </c>
      <c r="C10" s="31" t="s">
        <v>55</v>
      </c>
      <c r="D10" s="31">
        <v>500</v>
      </c>
      <c r="E10" s="31">
        <v>50</v>
      </c>
      <c r="F10" s="31" t="s">
        <v>28</v>
      </c>
    </row>
    <row r="11" spans="1:6" x14ac:dyDescent="0.2">
      <c r="A11" s="31" t="s">
        <v>56</v>
      </c>
      <c r="B11" s="32" t="s">
        <v>57</v>
      </c>
      <c r="C11" s="31" t="s">
        <v>58</v>
      </c>
      <c r="D11" s="31">
        <v>130</v>
      </c>
      <c r="E11" s="31">
        <v>10</v>
      </c>
      <c r="F11" s="31" t="s">
        <v>59</v>
      </c>
    </row>
    <row r="12" spans="1:6" x14ac:dyDescent="0.2">
      <c r="A12" s="31" t="s">
        <v>60</v>
      </c>
      <c r="B12" s="32" t="s">
        <v>61</v>
      </c>
      <c r="C12" s="31" t="s">
        <v>62</v>
      </c>
      <c r="D12" s="31">
        <v>950</v>
      </c>
      <c r="E12" s="31">
        <v>25</v>
      </c>
      <c r="F12" s="31" t="s">
        <v>28</v>
      </c>
    </row>
    <row r="13" spans="1:6" x14ac:dyDescent="0.2">
      <c r="A13" s="31" t="s">
        <v>63</v>
      </c>
      <c r="B13" s="32" t="s">
        <v>30</v>
      </c>
      <c r="C13" s="31" t="s">
        <v>49</v>
      </c>
      <c r="D13" s="31">
        <v>90</v>
      </c>
      <c r="E13" s="31">
        <v>40</v>
      </c>
      <c r="F13" s="31"/>
    </row>
    <row r="14" spans="1:6" x14ac:dyDescent="0.2">
      <c r="A14" s="31" t="s">
        <v>64</v>
      </c>
      <c r="B14" s="32" t="s">
        <v>34</v>
      </c>
      <c r="C14" s="31" t="s">
        <v>65</v>
      </c>
      <c r="D14" s="31">
        <v>120</v>
      </c>
      <c r="E14" s="31">
        <v>35</v>
      </c>
      <c r="F14" s="31"/>
    </row>
    <row r="15" spans="1:6" x14ac:dyDescent="0.2">
      <c r="A15" s="31" t="s">
        <v>66</v>
      </c>
      <c r="B15" s="32" t="s">
        <v>67</v>
      </c>
      <c r="C15" s="31" t="s">
        <v>68</v>
      </c>
      <c r="D15" s="31">
        <v>150</v>
      </c>
      <c r="E15" s="31">
        <v>15</v>
      </c>
      <c r="F15" s="31" t="s">
        <v>46</v>
      </c>
    </row>
    <row r="16" spans="1:6" x14ac:dyDescent="0.2">
      <c r="A16" s="31" t="s">
        <v>69</v>
      </c>
      <c r="B16" s="32" t="s">
        <v>70</v>
      </c>
      <c r="C16" s="31" t="s">
        <v>71</v>
      </c>
      <c r="D16" s="31">
        <v>250</v>
      </c>
      <c r="E16" s="31">
        <v>20</v>
      </c>
      <c r="F16" s="31" t="s">
        <v>46</v>
      </c>
    </row>
    <row r="17" spans="1:6" x14ac:dyDescent="0.2">
      <c r="A17" s="31" t="s">
        <v>72</v>
      </c>
      <c r="B17" s="32" t="s">
        <v>73</v>
      </c>
      <c r="C17" s="31" t="s">
        <v>74</v>
      </c>
      <c r="D17" s="31">
        <v>50</v>
      </c>
      <c r="E17" s="31">
        <v>35</v>
      </c>
      <c r="F17" s="31" t="s">
        <v>75</v>
      </c>
    </row>
    <row r="18" spans="1:6" x14ac:dyDescent="0.2">
      <c r="A18" s="31" t="s">
        <v>76</v>
      </c>
      <c r="B18" s="32" t="s">
        <v>67</v>
      </c>
      <c r="C18" s="31" t="s">
        <v>77</v>
      </c>
      <c r="D18" s="31">
        <v>160</v>
      </c>
      <c r="E18" s="31">
        <v>15</v>
      </c>
      <c r="F18" s="31" t="s">
        <v>46</v>
      </c>
    </row>
    <row r="19" spans="1:6" x14ac:dyDescent="0.2">
      <c r="A19" s="31" t="s">
        <v>78</v>
      </c>
      <c r="B19" s="32" t="s">
        <v>26</v>
      </c>
      <c r="C19" s="31" t="s">
        <v>79</v>
      </c>
      <c r="D19" s="31">
        <v>980</v>
      </c>
      <c r="E19" s="31">
        <v>10</v>
      </c>
      <c r="F19" s="31" t="s">
        <v>28</v>
      </c>
    </row>
    <row r="20" spans="1:6" x14ac:dyDescent="0.2">
      <c r="A20" s="31" t="s">
        <v>80</v>
      </c>
      <c r="B20" s="32" t="s">
        <v>81</v>
      </c>
      <c r="C20" s="31" t="s">
        <v>82</v>
      </c>
      <c r="D20" s="31">
        <v>150</v>
      </c>
      <c r="E20" s="31">
        <v>15</v>
      </c>
      <c r="F20" s="31" t="s">
        <v>32</v>
      </c>
    </row>
    <row r="21" spans="1:6" x14ac:dyDescent="0.2">
      <c r="A21" s="31" t="s">
        <v>83</v>
      </c>
      <c r="B21" s="32" t="s">
        <v>84</v>
      </c>
      <c r="C21" s="31" t="s">
        <v>85</v>
      </c>
      <c r="D21" s="31"/>
      <c r="E21" s="31">
        <v>10</v>
      </c>
      <c r="F21" s="31" t="s">
        <v>59</v>
      </c>
    </row>
    <row r="22" spans="1:6" x14ac:dyDescent="0.2">
      <c r="A22" s="31" t="s">
        <v>86</v>
      </c>
      <c r="B22" s="32" t="s">
        <v>87</v>
      </c>
      <c r="C22" s="31" t="s">
        <v>88</v>
      </c>
      <c r="D22" s="31">
        <v>700</v>
      </c>
      <c r="E22" s="31">
        <v>50</v>
      </c>
      <c r="F22" s="31" t="s">
        <v>28</v>
      </c>
    </row>
    <row r="23" spans="1:6" x14ac:dyDescent="0.2">
      <c r="A23" s="31" t="s">
        <v>89</v>
      </c>
      <c r="B23" s="32" t="s">
        <v>90</v>
      </c>
      <c r="C23" s="31" t="s">
        <v>91</v>
      </c>
      <c r="D23" s="31">
        <v>80</v>
      </c>
      <c r="E23" s="31">
        <v>20</v>
      </c>
      <c r="F23" s="31" t="s">
        <v>36</v>
      </c>
    </row>
    <row r="24" spans="1:6" x14ac:dyDescent="0.2">
      <c r="A24" s="31" t="s">
        <v>92</v>
      </c>
      <c r="B24" s="32" t="s">
        <v>93</v>
      </c>
      <c r="C24" s="31" t="s">
        <v>94</v>
      </c>
      <c r="D24" s="31">
        <v>150</v>
      </c>
      <c r="E24" s="31">
        <v>30</v>
      </c>
      <c r="F24" s="31"/>
    </row>
    <row r="25" spans="1:6" x14ac:dyDescent="0.2">
      <c r="A25" s="31" t="s">
        <v>72</v>
      </c>
      <c r="B25" s="32" t="s">
        <v>73</v>
      </c>
      <c r="C25" s="31" t="s">
        <v>74</v>
      </c>
      <c r="D25" s="31">
        <v>50</v>
      </c>
      <c r="E25" s="31">
        <v>35</v>
      </c>
      <c r="F25" s="31" t="s">
        <v>75</v>
      </c>
    </row>
    <row r="26" spans="1:6" x14ac:dyDescent="0.2">
      <c r="A26" s="31" t="s">
        <v>95</v>
      </c>
      <c r="B26" s="32" t="s">
        <v>96</v>
      </c>
      <c r="C26" s="31" t="s">
        <v>97</v>
      </c>
      <c r="D26" s="31">
        <v>800</v>
      </c>
      <c r="E26" s="31">
        <v>45</v>
      </c>
      <c r="F26" s="31" t="s">
        <v>28</v>
      </c>
    </row>
    <row r="27" spans="1:6" x14ac:dyDescent="0.2">
      <c r="A27" s="31" t="s">
        <v>98</v>
      </c>
      <c r="B27" s="32" t="s">
        <v>81</v>
      </c>
      <c r="C27" s="31" t="s">
        <v>99</v>
      </c>
      <c r="D27" s="31"/>
      <c r="E27" s="31">
        <v>25</v>
      </c>
      <c r="F27" s="31" t="s">
        <v>32</v>
      </c>
    </row>
    <row r="28" spans="1:6" x14ac:dyDescent="0.2">
      <c r="A28" s="31" t="s">
        <v>100</v>
      </c>
      <c r="B28" s="32" t="s">
        <v>51</v>
      </c>
      <c r="C28" s="31" t="s">
        <v>101</v>
      </c>
      <c r="D28" s="31">
        <v>400</v>
      </c>
      <c r="E28" s="31">
        <v>40</v>
      </c>
      <c r="F28" s="31" t="s">
        <v>36</v>
      </c>
    </row>
    <row r="29" spans="1:6" x14ac:dyDescent="0.2">
      <c r="A29" s="31" t="s">
        <v>69</v>
      </c>
      <c r="B29" s="32" t="s">
        <v>70</v>
      </c>
      <c r="C29" s="31" t="s">
        <v>71</v>
      </c>
      <c r="D29" s="31">
        <v>250</v>
      </c>
      <c r="E29" s="31">
        <v>20</v>
      </c>
      <c r="F29" s="31" t="s">
        <v>46</v>
      </c>
    </row>
    <row r="30" spans="1:6" x14ac:dyDescent="0.2">
      <c r="A30" s="31" t="s">
        <v>102</v>
      </c>
      <c r="B30" s="32" t="s">
        <v>103</v>
      </c>
      <c r="C30" s="31" t="s">
        <v>104</v>
      </c>
      <c r="D30" s="31">
        <v>60</v>
      </c>
      <c r="E30" s="31">
        <v>30</v>
      </c>
      <c r="F30" s="31" t="s">
        <v>32</v>
      </c>
    </row>
    <row r="31" spans="1:6" x14ac:dyDescent="0.2">
      <c r="A31" s="31" t="s">
        <v>105</v>
      </c>
      <c r="B31" s="32" t="s">
        <v>106</v>
      </c>
      <c r="C31" s="31" t="s">
        <v>107</v>
      </c>
      <c r="D31" s="31">
        <v>40</v>
      </c>
      <c r="E31" s="31">
        <v>10</v>
      </c>
      <c r="F31" s="31" t="s">
        <v>36</v>
      </c>
    </row>
    <row r="32" spans="1:6" x14ac:dyDescent="0.2">
      <c r="A32" s="31" t="s">
        <v>108</v>
      </c>
      <c r="B32" s="32" t="s">
        <v>93</v>
      </c>
      <c r="C32" s="31" t="s">
        <v>109</v>
      </c>
      <c r="D32" s="31">
        <v>130</v>
      </c>
      <c r="E32" s="31">
        <v>5</v>
      </c>
      <c r="F32" s="31" t="s">
        <v>28</v>
      </c>
    </row>
    <row r="33" spans="1:6" x14ac:dyDescent="0.2">
      <c r="A33" s="31" t="s">
        <v>110</v>
      </c>
      <c r="B33" s="32" t="s">
        <v>111</v>
      </c>
      <c r="C33" s="31" t="s">
        <v>112</v>
      </c>
      <c r="D33" s="31">
        <v>50</v>
      </c>
      <c r="E33" s="31">
        <v>50</v>
      </c>
      <c r="F33" s="31" t="s">
        <v>32</v>
      </c>
    </row>
    <row r="34" spans="1:6" x14ac:dyDescent="0.2">
      <c r="A34" s="31" t="s">
        <v>60</v>
      </c>
      <c r="B34" s="32" t="s">
        <v>61</v>
      </c>
      <c r="C34" s="31" t="s">
        <v>62</v>
      </c>
      <c r="D34" s="31">
        <v>950</v>
      </c>
      <c r="E34" s="31">
        <v>25</v>
      </c>
      <c r="F34" s="31" t="s">
        <v>28</v>
      </c>
    </row>
    <row r="35" spans="1:6" x14ac:dyDescent="0.2">
      <c r="A35" s="31" t="s">
        <v>113</v>
      </c>
      <c r="B35" s="32" t="s">
        <v>114</v>
      </c>
      <c r="C35" s="31" t="s">
        <v>115</v>
      </c>
      <c r="D35" s="31">
        <v>100</v>
      </c>
      <c r="E35" s="31">
        <v>20</v>
      </c>
      <c r="F35" s="31" t="s">
        <v>75</v>
      </c>
    </row>
  </sheetData>
  <conditionalFormatting sqref="D1:D35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{1B2A6507-49A0-4895-9594-107DDF5E06C0}</x14:id>
        </ext>
      </extLst>
    </cfRule>
  </conditionalFormatting>
  <conditionalFormatting sqref="F2:F35">
    <cfRule type="containsText" dxfId="2" priority="1" operator="containsText" text="Electronics">
      <formula>NOT(ISERROR(SEARCH("Electronics",F2)))</formula>
    </cfRule>
    <cfRule type="containsText" dxfId="1" priority="2" operator="containsText" text="Electronics">
      <formula>NOT(ISERROR(SEARCH("Electronics",F2)))</formula>
    </cfRule>
    <cfRule type="containsText" dxfId="0" priority="3" operator="containsText" text="Electronics">
      <formula>NOT(ISERROR(SEARCH("Electronics",F2)))</formula>
    </cfRule>
    <cfRule type="expression" priority="4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2A6507-49A0-4895-9594-107DDF5E06C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Sheet1</vt:lpstr>
      <vt:lpstr>sheet 2</vt:lpstr>
      <vt:lpstr>sheet 3</vt:lpstr>
      <vt:lpstr>Sheet4</vt:lpstr>
      <vt:lpstr>Sheet 5</vt:lpstr>
      <vt:lpstr>Sheet 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</dc:creator>
  <cp:lastModifiedBy>i3</cp:lastModifiedBy>
  <cp:lastPrinted>2026-01-11T04:08:03Z</cp:lastPrinted>
  <dcterms:created xsi:type="dcterms:W3CDTF">2026-01-02T07:05:34Z</dcterms:created>
  <dcterms:modified xsi:type="dcterms:W3CDTF">2026-01-11T04:08:06Z</dcterms:modified>
</cp:coreProperties>
</file>